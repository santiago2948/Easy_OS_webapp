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CTURA QT-25294" sheetId="1" r:id="rId4"/>
  </sheets>
  <definedNames/>
  <calcPr/>
  <extLst>
    <ext uri="GoogleSheetsCustomDataVersion2">
      <go:sheetsCustomData xmlns:go="http://customooxmlschemas.google.com/" r:id="rId5" roundtripDataChecksum="JlxSnwbHoQn6iIJG77cHYsSOoh62dCIjl8lpBQ8xOIs="/>
    </ext>
  </extLst>
</workbook>
</file>

<file path=xl/sharedStrings.xml><?xml version="1.0" encoding="utf-8"?>
<sst xmlns="http://schemas.openxmlformats.org/spreadsheetml/2006/main" count="179" uniqueCount="130">
  <si>
    <t>EASY LOGISTICS COLOMBIA S.A.S</t>
  </si>
  <si>
    <t>ESTRUCTURA DE COSTOS · QT-25294 — LETTO SAS CI · 2º CONTENEDOR</t>
  </si>
  <si>
    <t>Exportación marítima FCL · CIF · Cartagena → St. Vincent · Netas sobre soportes de proveedor · Corte 21-jul-2026</t>
  </si>
  <si>
    <t>1.  DATOS DE LA OPERACIÓN Y DE LA CARGA  (base verificable de todos los cálculos)</t>
  </si>
  <si>
    <t>Cliente / Exportador</t>
  </si>
  <si>
    <t>LETTO SAS CI (Letto Furniture)</t>
  </si>
  <si>
    <t>Agencia de aduana</t>
  </si>
  <si>
    <t>Interlogística ZF (Agente Nivel 1)</t>
  </si>
  <si>
    <t>Operación</t>
  </si>
  <si>
    <t>QT-25294  ·  2º contenedor</t>
  </si>
  <si>
    <t>Agente de carga / naviera</t>
  </si>
  <si>
    <t>Tri Cargo (DO TRIC-21849) · Seaboard</t>
  </si>
  <si>
    <t>Ruta</t>
  </si>
  <si>
    <t>Cartagena → St. Vincent (conexión TROPIC UNIT)</t>
  </si>
  <si>
    <t>Incoterm / Modalidad</t>
  </si>
  <si>
    <t>CIF · Exportación marítima FCL</t>
  </si>
  <si>
    <t>Contenedor</t>
  </si>
  <si>
    <t>1 x 40' HC · SMLU7912574 · sello L655064648</t>
  </si>
  <si>
    <t>BL / Booking</t>
  </si>
  <si>
    <t>SMLU9095486A</t>
  </si>
  <si>
    <t>D.O (Interlogística)</t>
  </si>
  <si>
    <t>CTGE0271382</t>
  </si>
  <si>
    <t>DO Tri Cargo</t>
  </si>
  <si>
    <t>TRIC-21849</t>
  </si>
  <si>
    <t>Mercancía</t>
  </si>
  <si>
    <t>Mobiliario (Letto)</t>
  </si>
  <si>
    <t>Peso</t>
  </si>
  <si>
    <t>1 x 40' HC (mobiliario)</t>
  </si>
  <si>
    <t>ATD (zarpe)</t>
  </si>
  <si>
    <t>07/08-jul-2026</t>
  </si>
  <si>
    <t>ATA (arribo destino)</t>
  </si>
  <si>
    <t>08-jul-2026 (confirmado por Tricargo)</t>
  </si>
  <si>
    <t>Estado operativo</t>
  </si>
  <si>
    <t>Arribada en destino · liberación en validación</t>
  </si>
  <si>
    <t>Estado financiero</t>
  </si>
  <si>
    <t>Cierre en curso — sin facturar</t>
  </si>
  <si>
    <t>TRM de referencia</t>
  </si>
  <si>
    <t>3.435 (estructura QT-25294)</t>
  </si>
  <si>
    <t>Vigencia tarifas</t>
  </si>
  <si>
    <t>30-may-2026 (sujeta a variación)</t>
  </si>
  <si>
    <t>2.  VENTA — LO QUE SE DEBE FACTURAR A LETTO  (pre-liquidación pactada, en USD)</t>
  </si>
  <si>
    <t>#</t>
  </si>
  <si>
    <t>CONCEPTO</t>
  </si>
  <si>
    <t>DETALLE</t>
  </si>
  <si>
    <t>VENTA USD</t>
  </si>
  <si>
    <t>ESTADO</t>
  </si>
  <si>
    <t>SOPORTE / FUENTE</t>
  </si>
  <si>
    <t>Transporte terrestre (inland) Bogotá → Cartagena</t>
  </si>
  <si>
    <t>A FACTURAR</t>
  </si>
  <si>
    <t>Cotización Quick QT-25294 (correo 29-may-2026)</t>
  </si>
  <si>
    <t>Auxiliares de cargue</t>
  </si>
  <si>
    <t>Cotización Quick (correo 29-may-2026)</t>
  </si>
  <si>
    <t>Candado satelital</t>
  </si>
  <si>
    <t>Radicación</t>
  </si>
  <si>
    <t>Estructura QT-25294 (pre-liquidación)</t>
  </si>
  <si>
    <t>Doc fee</t>
  </si>
  <si>
    <t>Otros naviera</t>
  </si>
  <si>
    <t>Aduana de exportación</t>
  </si>
  <si>
    <t>DEX</t>
  </si>
  <si>
    <t>Gastos básicos</t>
  </si>
  <si>
    <t>SAE</t>
  </si>
  <si>
    <t>Gastos portuarios Cartagena</t>
  </si>
  <si>
    <t>Flete internacional (Cartagena → St. Vincent, CIF)</t>
  </si>
  <si>
    <t>Estructura QT-25294 · factura Tricargo TRIC7586</t>
  </si>
  <si>
    <t>Seguro de mercancía (puerta a puerta)</t>
  </si>
  <si>
    <t>TOTAL A FACTURAR A LETTO (por contenedor)</t>
  </si>
  <si>
    <t>Confirmar TRM de facturación con contabilidad</t>
  </si>
  <si>
    <t>3.  NETAS — COSTO REAL DE LA OPERACIÓN  (solo con soporte verificable)</t>
  </si>
  <si>
    <t>PROVEEDOR</t>
  </si>
  <si>
    <t>SOPORTE / DOCUMENTO</t>
  </si>
  <si>
    <t>NETA USD</t>
  </si>
  <si>
    <t>NETA COP</t>
  </si>
  <si>
    <t>OBSERVACIÓN</t>
  </si>
  <si>
    <t>Quick</t>
  </si>
  <si>
    <t>Inland Bogotá → Cartagena (1x40 patineta)</t>
  </si>
  <si>
    <t>Cotización Quick · correo 29-may-2026</t>
  </si>
  <si>
    <t>—</t>
  </si>
  <si>
    <t>COTIZACIÓN</t>
  </si>
  <si>
    <t>Soportado en cotización, no en factura. Confirmar factura del transportador.</t>
  </si>
  <si>
    <t>Auxiliares de cargue (8)</t>
  </si>
  <si>
    <t>Máx. 6 horas. Confirmar factura.</t>
  </si>
  <si>
    <t>Confirmar factura.</t>
  </si>
  <si>
    <t>Tri Cargo</t>
  </si>
  <si>
    <t>Flete internacional + gastos naviera</t>
  </si>
  <si>
    <t>Factura TRIC7586 (DIAN, recibida 26-jun-2026)</t>
  </si>
  <si>
    <t>CONFIRMAR</t>
  </si>
  <si>
    <t>La factura existe. Leer el monto exacto del XML/PDF con contabilidad.</t>
  </si>
  <si>
    <t>Interlogística ZF</t>
  </si>
  <si>
    <t>Aduana de exportación (radicación, DEX, SAE, gastos básicos)</t>
  </si>
  <si>
    <t>Hoja de liquidación</t>
  </si>
  <si>
    <t>PENDIENTE</t>
  </si>
  <si>
    <t>Hoja de liquidación NO recibida. Reclamar a Stefania Torres.</t>
  </si>
  <si>
    <t>Se facturan a costo. Sin soporte final.</t>
  </si>
  <si>
    <t>Aseguradora</t>
  </si>
  <si>
    <t>Seguro de mercancía</t>
  </si>
  <si>
    <t>Póliza / estructura QT-25294</t>
  </si>
  <si>
    <t>Confirmar valor con la póliza emitida.</t>
  </si>
  <si>
    <t>TOTAL NETAS — NO se puede cerrar: faltan soportes de Tricargo e Interlogística</t>
  </si>
  <si>
    <t>parcial</t>
  </si>
  <si>
    <t>Cerrar al recibir la hoja de liquidación</t>
  </si>
  <si>
    <t>4.  ESTADO FINANCIERO — cuánto se facturó, cuánto se devolvió, qué falta</t>
  </si>
  <si>
    <t>MONTO</t>
  </si>
  <si>
    <t>A facturar a Letto (pre-liquidación)</t>
  </si>
  <si>
    <t>US$ 10.719</t>
  </si>
  <si>
    <t>POR FACTURAR</t>
  </si>
  <si>
    <t>Factura emitida al cliente</t>
  </si>
  <si>
    <t>Ninguna</t>
  </si>
  <si>
    <t>BLOQUEADA</t>
  </si>
  <si>
    <t>Saldo a favor devuelto al cliente</t>
  </si>
  <si>
    <t>$ 833.726</t>
  </si>
  <si>
    <t>DEVUELTO 10-jul</t>
  </si>
  <si>
    <t>Costo Tri Cargo (flete/naviera)</t>
  </si>
  <si>
    <t>Factura TRIC7586</t>
  </si>
  <si>
    <t>CONFIRMAR MONTO</t>
  </si>
  <si>
    <t>Costo Interlogística (aduana/portuarios)</t>
  </si>
  <si>
    <t>5.  ALERTAS Y METODOLOGÍA  (leer antes de facturar)</t>
  </si>
  <si>
    <t>BLOQUEO PARA FACTURAR</t>
  </si>
  <si>
    <t>La factura a Letto (US$ 10.719) NO se ha emitido. Depende de la hoja de liquidación de Interlogística. Reclamarla a Stefania Torres para poder facturar.</t>
  </si>
  <si>
    <t>NETAS SIN CERRAR</t>
  </si>
  <si>
    <t>Aduana y gastos portuarios no tienen soporte final (dependen de la hoja de liquidación). No cerrar el costo real hasta recibirla.</t>
  </si>
  <si>
    <t>FACTURA DE TRICARGO</t>
  </si>
  <si>
    <t>La factura de costo TRIC7586 existe (recibida 26-jun). Su monto exacto debe confirmarse con contabilidad; no fue legible desde el correo (factura electrónica en XML/zip).</t>
  </si>
  <si>
    <t>INLAND EN COTIZACIÓN</t>
  </si>
  <si>
    <t>El inland ($5.977.000) está soportado en cotización de Quick, no en factura. Confirmar la factura del transportador.</t>
  </si>
  <si>
    <t>SALDO A FAVOR</t>
  </si>
  <si>
    <t>$833.726 ya fue devuelto el 10-jul (comprobante G-001-0000013288, cartera Interlogística). Verificar que se trasladó al cliente y quede conciliado.</t>
  </si>
  <si>
    <t>METODOLOGÍA</t>
  </si>
  <si>
    <t>Cada neta se calcula sobre el soporte del proveedor (factura o cotización), nunca sobre el precio de venta. La columna ESTADO indica si el número está VERIFICADO, en COTIZACIÓN, por CONFIRMAR o PENDIENTE.</t>
  </si>
  <si>
    <t>LEYENDA DE ESTADO:   VERIFICADO = con factura/comprobante   ·   COTIZACIÓN / CONFIRMAR = soporte preliminar, validar   ·   PENDIENTE = sin soporte, no facturar</t>
  </si>
  <si>
    <t>Fuentes: Estructura QT-25294 (Drive) · correos QT-25294 2DO CONT / DO TRIC-21849 / Inland Bog-Cartagena · Base maestra de operaciones Easy (act. 20-jul-2026) · comprobante devolución G-001-0000013288.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</si>
</sst>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US$ &quot;#,##0"/>
    <numFmt numFmtId="165" formatCode="&quot;$ &quot;#,##0"/>
  </numFmts>
  <fonts count="18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2.0"/>
      <color rgb="FFFFFFFF"/>
      <name val="Arial"/>
    </font>
    <font>
      <i/>
      <sz val="9.0"/>
      <color rgb="FF6B7A75"/>
      <name val="Arial"/>
    </font>
    <font>
      <b/>
      <sz val="11.0"/>
      <color rgb="FFFFFFFF"/>
      <name val="Arial"/>
    </font>
    <font>
      <b/>
      <sz val="9.0"/>
      <color rgb="FF1F6B3B"/>
      <name val="Arial"/>
    </font>
    <font>
      <sz val="9.0"/>
      <color rgb="FF263238"/>
      <name val="Arial"/>
    </font>
    <font>
      <b/>
      <sz val="9.0"/>
      <color rgb="FFFFFFFF"/>
      <name val="Arial"/>
    </font>
    <font>
      <sz val="10.0"/>
      <color rgb="FF263238"/>
      <name val="Arial"/>
    </font>
    <font>
      <sz val="8.0"/>
      <color rgb="FF263238"/>
      <name val="Arial"/>
    </font>
    <font>
      <sz val="8.0"/>
      <color rgb="FF6B7A75"/>
      <name val="Arial"/>
    </font>
    <font>
      <b/>
      <sz val="10.0"/>
      <color rgb="FFFFFFFF"/>
      <name val="Arial"/>
    </font>
    <font>
      <i/>
      <sz val="8.0"/>
      <color rgb="FFFFFFFF"/>
      <name val="Arial"/>
    </font>
    <font>
      <b/>
      <sz val="8.0"/>
      <color rgb="FF263238"/>
      <name val="Arial"/>
    </font>
    <font>
      <b/>
      <sz val="9.0"/>
      <color rgb="FF263238"/>
      <name val="Arial"/>
    </font>
    <font>
      <color theme="1"/>
      <name val="Calibri"/>
      <scheme val="minor"/>
    </font>
    <font>
      <i/>
      <sz val="8.0"/>
      <color rgb="FF6B7A75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26A69A"/>
        <bgColor rgb="FF26A69A"/>
      </patternFill>
    </fill>
    <fill>
      <patternFill patternType="solid">
        <fgColor rgb="FF1F6B3B"/>
        <bgColor rgb="FF1F6B3B"/>
      </patternFill>
    </fill>
    <fill>
      <patternFill patternType="solid">
        <fgColor rgb="FFF4F8F5"/>
        <bgColor rgb="FFF4F8F5"/>
      </patternFill>
    </fill>
    <fill>
      <patternFill patternType="solid">
        <fgColor rgb="FFFCEFCB"/>
        <bgColor rgb="FFFCEFCB"/>
      </patternFill>
    </fill>
    <fill>
      <patternFill patternType="solid">
        <fgColor rgb="FFF6D3CE"/>
        <bgColor rgb="FFF6D3CE"/>
      </patternFill>
    </fill>
    <fill>
      <patternFill patternType="solid">
        <fgColor rgb="FFFFFF00"/>
        <bgColor rgb="FFFFFF00"/>
      </patternFill>
    </fill>
    <fill>
      <patternFill patternType="solid">
        <fgColor rgb="FFFFF6D6"/>
        <bgColor rgb="FFFFF6D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2DBD5"/>
      </left>
      <right style="thin">
        <color rgb="FFD2DBD5"/>
      </right>
      <top style="thin">
        <color rgb="FFD2DBD5"/>
      </top>
      <bottom style="thin">
        <color rgb="FFD2DBD5"/>
      </bottom>
    </border>
    <border>
      <left style="thin">
        <color rgb="FFD2DBD5"/>
      </left>
      <top style="thin">
        <color rgb="FFD2DBD5"/>
      </top>
      <bottom style="thin">
        <color rgb="FFD2DBD5"/>
      </bottom>
    </border>
    <border>
      <top style="thin">
        <color rgb="FFD2DBD5"/>
      </top>
      <bottom style="thin">
        <color rgb="FFD2DBD5"/>
      </bottom>
    </border>
    <border>
      <right style="thin">
        <color rgb="FFD2DBD5"/>
      </right>
      <top style="thin">
        <color rgb="FFD2DBD5"/>
      </top>
      <bottom style="thin">
        <color rgb="FFD2DBD5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1" fillId="4" fontId="5" numFmtId="0" xfId="0" applyAlignment="1" applyBorder="1" applyFill="1" applyFont="1">
      <alignment horizontal="left" shrinkToFit="0" vertical="center" wrapText="0"/>
    </xf>
    <xf borderId="4" fillId="5" fontId="6" numFmtId="0" xfId="0" applyAlignment="1" applyBorder="1" applyFill="1" applyFont="1">
      <alignment horizontal="left" shrinkToFit="0" vertical="center" wrapText="0"/>
    </xf>
    <xf borderId="5" fillId="0" fontId="7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2" fontId="8" numFmtId="0" xfId="0" applyAlignment="1" applyBorder="1" applyFont="1">
      <alignment horizontal="center" shrinkToFit="0" vertical="center" wrapText="0"/>
    </xf>
    <xf borderId="4" fillId="2" fontId="8" numFmtId="0" xfId="0" applyAlignment="1" applyBorder="1" applyFont="1">
      <alignment horizontal="left" shrinkToFit="0" vertical="center" wrapText="0"/>
    </xf>
    <xf borderId="5" fillId="2" fontId="8" numFmtId="0" xfId="0" applyAlignment="1" applyBorder="1" applyFont="1">
      <alignment horizontal="left" shrinkToFit="0" vertical="center" wrapText="0"/>
    </xf>
    <xf borderId="4" fillId="2" fontId="8" numFmtId="0" xfId="0" applyAlignment="1" applyBorder="1" applyFont="1">
      <alignment horizontal="right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left" shrinkToFit="0" vertical="center" wrapText="1"/>
    </xf>
    <xf borderId="5" fillId="0" fontId="7" numFmtId="164" xfId="0" applyAlignment="1" applyBorder="1" applyFont="1" applyNumberFormat="1">
      <alignment horizontal="right" shrinkToFit="0" vertical="center" wrapText="0"/>
    </xf>
    <xf borderId="4" fillId="6" fontId="10" numFmtId="0" xfId="0" applyAlignment="1" applyBorder="1" applyFill="1" applyFont="1">
      <alignment horizontal="center" shrinkToFit="0" vertical="center" wrapText="0"/>
    </xf>
    <xf borderId="4" fillId="0" fontId="11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center" shrinkToFit="0" vertical="center" wrapText="0"/>
    </xf>
    <xf borderId="5" fillId="5" fontId="7" numFmtId="0" xfId="0" applyAlignment="1" applyBorder="1" applyFont="1">
      <alignment horizontal="left" shrinkToFit="0" vertical="center" wrapText="1"/>
    </xf>
    <xf borderId="5" fillId="5" fontId="7" numFmtId="164" xfId="0" applyAlignment="1" applyBorder="1" applyFont="1" applyNumberFormat="1">
      <alignment horizontal="right" shrinkToFit="0" vertical="center" wrapText="0"/>
    </xf>
    <xf borderId="4" fillId="5" fontId="11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left" shrinkToFit="0" vertical="center" wrapText="0"/>
    </xf>
    <xf borderId="5" fillId="4" fontId="12" numFmtId="0" xfId="0" applyAlignment="1" applyBorder="1" applyFont="1">
      <alignment horizontal="left" shrinkToFit="0" vertical="center" wrapText="0"/>
    </xf>
    <xf borderId="5" fillId="4" fontId="5" numFmtId="164" xfId="0" applyAlignment="1" applyBorder="1" applyFont="1" applyNumberFormat="1">
      <alignment horizontal="right" shrinkToFit="0" vertical="center" wrapText="0"/>
    </xf>
    <xf borderId="4" fillId="4" fontId="13" numFmtId="0" xfId="0" applyAlignment="1" applyBorder="1" applyFont="1">
      <alignment horizontal="left" shrinkToFit="0" vertical="center" wrapText="0"/>
    </xf>
    <xf borderId="4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right" shrinkToFit="0" vertical="center" wrapText="0"/>
    </xf>
    <xf borderId="4" fillId="0" fontId="7" numFmtId="165" xfId="0" applyAlignment="1" applyBorder="1" applyFont="1" applyNumberFormat="1">
      <alignment horizontal="right" shrinkToFit="0" vertical="center" wrapText="0"/>
    </xf>
    <xf borderId="4" fillId="6" fontId="14" numFmtId="0" xfId="0" applyAlignment="1" applyBorder="1" applyFont="1">
      <alignment horizontal="center" shrinkToFit="0" vertical="center" wrapText="0"/>
    </xf>
    <xf borderId="4" fillId="0" fontId="10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5" fillId="5" fontId="11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right" shrinkToFit="0" vertical="center" wrapText="0"/>
    </xf>
    <xf borderId="4" fillId="5" fontId="7" numFmtId="165" xfId="0" applyAlignment="1" applyBorder="1" applyFont="1" applyNumberFormat="1">
      <alignment horizontal="right" shrinkToFit="0" vertical="center" wrapText="0"/>
    </xf>
    <xf borderId="4" fillId="5" fontId="10" numFmtId="0" xfId="0" applyAlignment="1" applyBorder="1" applyFont="1">
      <alignment horizontal="left" shrinkToFit="0" vertical="center" wrapText="1"/>
    </xf>
    <xf borderId="4" fillId="7" fontId="14" numFmtId="0" xfId="0" applyAlignment="1" applyBorder="1" applyFill="1" applyFont="1">
      <alignment horizontal="center" shrinkToFit="0" vertical="center" wrapText="0"/>
    </xf>
    <xf borderId="4" fillId="0" fontId="7" numFmtId="164" xfId="0" applyAlignment="1" applyBorder="1" applyFont="1" applyNumberFormat="1">
      <alignment horizontal="right" shrinkToFit="0" vertical="center" wrapText="0"/>
    </xf>
    <xf borderId="5" fillId="4" fontId="8" numFmtId="0" xfId="0" applyAlignment="1" applyBorder="1" applyFont="1">
      <alignment horizontal="left" shrinkToFit="0" vertical="center" wrapText="0"/>
    </xf>
    <xf borderId="4" fillId="4" fontId="12" numFmtId="0" xfId="0" applyAlignment="1" applyBorder="1" applyFont="1">
      <alignment horizontal="right" shrinkToFit="0" vertical="center" wrapText="0"/>
    </xf>
    <xf borderId="4" fillId="4" fontId="8" numFmtId="0" xfId="0" applyAlignment="1" applyBorder="1" applyFont="1">
      <alignment horizontal="right" shrinkToFit="0" vertical="center" wrapText="0"/>
    </xf>
    <xf borderId="5" fillId="2" fontId="8" numFmtId="0" xfId="0" applyAlignment="1" applyBorder="1" applyFont="1">
      <alignment horizontal="right" shrinkToFit="0" vertical="center" wrapText="0"/>
    </xf>
    <xf borderId="5" fillId="2" fontId="8" numFmtId="0" xfId="0" applyAlignment="1" applyBorder="1" applyFont="1">
      <alignment horizontal="center" shrinkToFit="0" vertical="center" wrapText="0"/>
    </xf>
    <xf borderId="5" fillId="0" fontId="15" numFmtId="0" xfId="0" applyAlignment="1" applyBorder="1" applyFont="1">
      <alignment horizontal="right" shrinkToFit="0" vertical="center" wrapText="0"/>
    </xf>
    <xf borderId="5" fillId="6" fontId="14" numFmtId="0" xfId="0" applyAlignment="1" applyBorder="1" applyFont="1">
      <alignment horizontal="center" shrinkToFit="0" vertical="center" wrapText="0"/>
    </xf>
    <xf borderId="5" fillId="5" fontId="7" numFmtId="0" xfId="0" applyAlignment="1" applyBorder="1" applyFont="1">
      <alignment horizontal="left" shrinkToFit="0" vertical="center" wrapText="0"/>
    </xf>
    <xf borderId="5" fillId="5" fontId="15" numFmtId="0" xfId="0" applyAlignment="1" applyBorder="1" applyFont="1">
      <alignment horizontal="right" shrinkToFit="0" vertical="center" wrapText="0"/>
    </xf>
    <xf borderId="5" fillId="7" fontId="14" numFmtId="0" xfId="0" applyAlignment="1" applyBorder="1" applyFont="1">
      <alignment horizontal="center" shrinkToFit="0" vertical="center" wrapText="0"/>
    </xf>
    <xf borderId="5" fillId="8" fontId="7" numFmtId="0" xfId="0" applyAlignment="1" applyBorder="1" applyFill="1" applyFont="1">
      <alignment horizontal="left" shrinkToFit="0" vertical="center" wrapText="0"/>
    </xf>
    <xf borderId="5" fillId="8" fontId="15" numFmtId="0" xfId="0" applyAlignment="1" applyBorder="1" applyFont="1">
      <alignment horizontal="right" shrinkToFit="0" vertical="center" wrapText="0"/>
    </xf>
    <xf borderId="5" fillId="8" fontId="14" numFmtId="0" xfId="0" applyAlignment="1" applyBorder="1" applyFont="1">
      <alignment horizontal="center" shrinkToFit="0" vertical="center" wrapText="0"/>
    </xf>
    <xf borderId="0" fillId="8" fontId="16" numFmtId="0" xfId="0" applyFont="1"/>
    <xf borderId="4" fillId="9" fontId="6" numFmtId="0" xfId="0" applyAlignment="1" applyBorder="1" applyFill="1" applyFont="1">
      <alignment horizontal="left" shrinkToFit="0" vertical="top" wrapText="1"/>
    </xf>
    <xf borderId="5" fillId="9" fontId="7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3.0"/>
    <col customWidth="1" min="2" max="2" width="30.0"/>
    <col customWidth="1" min="3" max="3" width="26.0"/>
    <col customWidth="1" min="4" max="4" width="20.0"/>
    <col customWidth="1" min="5" max="5" width="13.0"/>
    <col customWidth="1" min="6" max="6" width="15.0"/>
    <col customWidth="1" min="7" max="7" width="17.0"/>
    <col customWidth="1" min="8" max="8" width="30.0"/>
    <col customWidth="1" min="9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3"/>
    </row>
    <row r="3">
      <c r="A3" s="5" t="s">
        <v>2</v>
      </c>
    </row>
    <row r="5" ht="24.0" customHeight="1">
      <c r="A5" s="6" t="s">
        <v>3</v>
      </c>
      <c r="B5" s="2"/>
      <c r="C5" s="2"/>
      <c r="D5" s="2"/>
      <c r="E5" s="2"/>
      <c r="F5" s="2"/>
      <c r="G5" s="2"/>
      <c r="H5" s="3"/>
    </row>
    <row r="6" ht="15.75" customHeight="1">
      <c r="A6" s="7" t="s">
        <v>4</v>
      </c>
      <c r="B6" s="8" t="s">
        <v>5</v>
      </c>
      <c r="C6" s="9"/>
      <c r="D6" s="10"/>
      <c r="E6" s="7" t="s">
        <v>6</v>
      </c>
      <c r="F6" s="8" t="s">
        <v>7</v>
      </c>
      <c r="G6" s="9"/>
      <c r="H6" s="10"/>
    </row>
    <row r="7" ht="15.75" customHeight="1">
      <c r="A7" s="7" t="s">
        <v>8</v>
      </c>
      <c r="B7" s="8" t="s">
        <v>9</v>
      </c>
      <c r="C7" s="9"/>
      <c r="D7" s="10"/>
      <c r="E7" s="7" t="s">
        <v>10</v>
      </c>
      <c r="F7" s="8" t="s">
        <v>11</v>
      </c>
      <c r="G7" s="9"/>
      <c r="H7" s="10"/>
    </row>
    <row r="8" ht="15.75" customHeight="1">
      <c r="A8" s="7" t="s">
        <v>12</v>
      </c>
      <c r="B8" s="8" t="s">
        <v>13</v>
      </c>
      <c r="C8" s="9"/>
      <c r="D8" s="10"/>
      <c r="E8" s="7" t="s">
        <v>14</v>
      </c>
      <c r="F8" s="8" t="s">
        <v>15</v>
      </c>
      <c r="G8" s="9"/>
      <c r="H8" s="10"/>
    </row>
    <row r="9" ht="15.75" customHeight="1">
      <c r="A9" s="7" t="s">
        <v>16</v>
      </c>
      <c r="B9" s="8" t="s">
        <v>17</v>
      </c>
      <c r="C9" s="9"/>
      <c r="D9" s="10"/>
      <c r="E9" s="7" t="s">
        <v>18</v>
      </c>
      <c r="F9" s="8" t="s">
        <v>19</v>
      </c>
      <c r="G9" s="9"/>
      <c r="H9" s="10"/>
    </row>
    <row r="10" ht="15.75" customHeight="1">
      <c r="A10" s="7" t="s">
        <v>20</v>
      </c>
      <c r="B10" s="8" t="s">
        <v>21</v>
      </c>
      <c r="C10" s="9"/>
      <c r="D10" s="10"/>
      <c r="E10" s="7" t="s">
        <v>22</v>
      </c>
      <c r="F10" s="8" t="s">
        <v>23</v>
      </c>
      <c r="G10" s="9"/>
      <c r="H10" s="10"/>
    </row>
    <row r="11" ht="15.75" customHeight="1">
      <c r="A11" s="7" t="s">
        <v>24</v>
      </c>
      <c r="B11" s="8" t="s">
        <v>25</v>
      </c>
      <c r="C11" s="9"/>
      <c r="D11" s="10"/>
      <c r="E11" s="7" t="s">
        <v>26</v>
      </c>
      <c r="F11" s="8" t="s">
        <v>27</v>
      </c>
      <c r="G11" s="9"/>
      <c r="H11" s="10"/>
    </row>
    <row r="12" ht="15.75" customHeight="1">
      <c r="A12" s="7" t="s">
        <v>28</v>
      </c>
      <c r="B12" s="8" t="s">
        <v>29</v>
      </c>
      <c r="C12" s="9"/>
      <c r="D12" s="10"/>
      <c r="E12" s="7" t="s">
        <v>30</v>
      </c>
      <c r="F12" s="8" t="s">
        <v>31</v>
      </c>
      <c r="G12" s="9"/>
      <c r="H12" s="10"/>
    </row>
    <row r="13" ht="15.75" customHeight="1">
      <c r="A13" s="7" t="s">
        <v>32</v>
      </c>
      <c r="B13" s="8" t="s">
        <v>33</v>
      </c>
      <c r="C13" s="9"/>
      <c r="D13" s="10"/>
      <c r="E13" s="7" t="s">
        <v>34</v>
      </c>
      <c r="F13" s="8" t="s">
        <v>35</v>
      </c>
      <c r="G13" s="9"/>
      <c r="H13" s="10"/>
    </row>
    <row r="14" ht="15.75" customHeight="1">
      <c r="A14" s="7" t="s">
        <v>36</v>
      </c>
      <c r="B14" s="8" t="s">
        <v>37</v>
      </c>
      <c r="C14" s="9"/>
      <c r="D14" s="10"/>
      <c r="E14" s="7" t="s">
        <v>38</v>
      </c>
      <c r="F14" s="8" t="s">
        <v>39</v>
      </c>
      <c r="G14" s="9"/>
      <c r="H14" s="10"/>
    </row>
    <row r="16" ht="24.0" customHeight="1">
      <c r="A16" s="6" t="s">
        <v>40</v>
      </c>
      <c r="B16" s="2"/>
      <c r="C16" s="2"/>
      <c r="D16" s="2"/>
      <c r="E16" s="2"/>
      <c r="F16" s="2"/>
      <c r="G16" s="2"/>
      <c r="H16" s="3"/>
    </row>
    <row r="17">
      <c r="A17" s="11" t="s">
        <v>41</v>
      </c>
      <c r="B17" s="12" t="s">
        <v>42</v>
      </c>
      <c r="C17" s="13" t="s">
        <v>43</v>
      </c>
      <c r="D17" s="10"/>
      <c r="E17" s="14" t="s">
        <v>44</v>
      </c>
      <c r="F17" s="15"/>
      <c r="G17" s="11" t="s">
        <v>45</v>
      </c>
      <c r="H17" s="12" t="s">
        <v>46</v>
      </c>
    </row>
    <row r="18" ht="15.0" customHeight="1">
      <c r="A18" s="16">
        <v>1.0</v>
      </c>
      <c r="B18" s="17" t="s">
        <v>47</v>
      </c>
      <c r="C18" s="9"/>
      <c r="D18" s="10"/>
      <c r="E18" s="18">
        <v>1757.0</v>
      </c>
      <c r="F18" s="10"/>
      <c r="G18" s="19" t="s">
        <v>48</v>
      </c>
      <c r="H18" s="20" t="s">
        <v>49</v>
      </c>
    </row>
    <row r="19" ht="15.0" customHeight="1">
      <c r="A19" s="21">
        <v>2.0</v>
      </c>
      <c r="B19" s="22" t="s">
        <v>50</v>
      </c>
      <c r="C19" s="9"/>
      <c r="D19" s="10"/>
      <c r="E19" s="23">
        <v>130.0</v>
      </c>
      <c r="F19" s="10"/>
      <c r="G19" s="19" t="s">
        <v>48</v>
      </c>
      <c r="H19" s="24" t="s">
        <v>51</v>
      </c>
    </row>
    <row r="20" ht="15.0" customHeight="1">
      <c r="A20" s="16">
        <v>3.0</v>
      </c>
      <c r="B20" s="17" t="s">
        <v>52</v>
      </c>
      <c r="C20" s="9"/>
      <c r="D20" s="10"/>
      <c r="E20" s="18">
        <v>76.0</v>
      </c>
      <c r="F20" s="10"/>
      <c r="G20" s="19" t="s">
        <v>48</v>
      </c>
      <c r="H20" s="20" t="s">
        <v>51</v>
      </c>
    </row>
    <row r="21" ht="15.0" customHeight="1">
      <c r="A21" s="21">
        <v>4.0</v>
      </c>
      <c r="B21" s="22" t="s">
        <v>53</v>
      </c>
      <c r="C21" s="9"/>
      <c r="D21" s="10"/>
      <c r="E21" s="23">
        <v>80.0</v>
      </c>
      <c r="F21" s="10"/>
      <c r="G21" s="19" t="s">
        <v>48</v>
      </c>
      <c r="H21" s="24" t="s">
        <v>54</v>
      </c>
    </row>
    <row r="22" ht="15.0" customHeight="1">
      <c r="A22" s="16">
        <v>5.0</v>
      </c>
      <c r="B22" s="17" t="s">
        <v>55</v>
      </c>
      <c r="C22" s="9"/>
      <c r="D22" s="10"/>
      <c r="E22" s="18">
        <v>250.0</v>
      </c>
      <c r="F22" s="10"/>
      <c r="G22" s="19" t="s">
        <v>48</v>
      </c>
      <c r="H22" s="20" t="s">
        <v>54</v>
      </c>
    </row>
    <row r="23" ht="15.0" customHeight="1">
      <c r="A23" s="21">
        <v>6.0</v>
      </c>
      <c r="B23" s="22" t="s">
        <v>56</v>
      </c>
      <c r="C23" s="9"/>
      <c r="D23" s="10"/>
      <c r="E23" s="23">
        <v>110.0</v>
      </c>
      <c r="F23" s="10"/>
      <c r="G23" s="19" t="s">
        <v>48</v>
      </c>
      <c r="H23" s="24" t="s">
        <v>54</v>
      </c>
    </row>
    <row r="24" ht="15.0" customHeight="1">
      <c r="A24" s="16">
        <v>7.0</v>
      </c>
      <c r="B24" s="17" t="s">
        <v>57</v>
      </c>
      <c r="C24" s="9"/>
      <c r="D24" s="10"/>
      <c r="E24" s="18">
        <v>330.0</v>
      </c>
      <c r="F24" s="10"/>
      <c r="G24" s="19" t="s">
        <v>48</v>
      </c>
      <c r="H24" s="20" t="s">
        <v>54</v>
      </c>
    </row>
    <row r="25" ht="15.0" customHeight="1">
      <c r="A25" s="21">
        <v>8.0</v>
      </c>
      <c r="B25" s="22" t="s">
        <v>58</v>
      </c>
      <c r="C25" s="9"/>
      <c r="D25" s="10"/>
      <c r="E25" s="23">
        <v>8.0</v>
      </c>
      <c r="F25" s="10"/>
      <c r="G25" s="19" t="s">
        <v>48</v>
      </c>
      <c r="H25" s="24" t="s">
        <v>54</v>
      </c>
    </row>
    <row r="26" ht="15.0" customHeight="1">
      <c r="A26" s="16">
        <v>9.0</v>
      </c>
      <c r="B26" s="17" t="s">
        <v>59</v>
      </c>
      <c r="C26" s="9"/>
      <c r="D26" s="10"/>
      <c r="E26" s="18">
        <v>100.0</v>
      </c>
      <c r="F26" s="10"/>
      <c r="G26" s="19" t="s">
        <v>48</v>
      </c>
      <c r="H26" s="20" t="s">
        <v>54</v>
      </c>
    </row>
    <row r="27" ht="15.0" customHeight="1">
      <c r="A27" s="21">
        <v>10.0</v>
      </c>
      <c r="B27" s="22" t="s">
        <v>60</v>
      </c>
      <c r="C27" s="9"/>
      <c r="D27" s="10"/>
      <c r="E27" s="23">
        <v>8.0</v>
      </c>
      <c r="F27" s="10"/>
      <c r="G27" s="19" t="s">
        <v>48</v>
      </c>
      <c r="H27" s="24" t="s">
        <v>54</v>
      </c>
    </row>
    <row r="28" ht="15.0" customHeight="1">
      <c r="A28" s="16">
        <v>11.0</v>
      </c>
      <c r="B28" s="17" t="s">
        <v>61</v>
      </c>
      <c r="C28" s="9"/>
      <c r="D28" s="10"/>
      <c r="E28" s="18">
        <v>600.0</v>
      </c>
      <c r="F28" s="10"/>
      <c r="G28" s="19" t="s">
        <v>48</v>
      </c>
      <c r="H28" s="20" t="s">
        <v>54</v>
      </c>
    </row>
    <row r="29" ht="15.0" customHeight="1">
      <c r="A29" s="21">
        <v>12.0</v>
      </c>
      <c r="B29" s="22" t="s">
        <v>62</v>
      </c>
      <c r="C29" s="9"/>
      <c r="D29" s="10"/>
      <c r="E29" s="23">
        <v>7220.0</v>
      </c>
      <c r="F29" s="10"/>
      <c r="G29" s="19" t="s">
        <v>48</v>
      </c>
      <c r="H29" s="24" t="s">
        <v>63</v>
      </c>
    </row>
    <row r="30" ht="15.0" customHeight="1">
      <c r="A30" s="16">
        <v>13.0</v>
      </c>
      <c r="B30" s="17" t="s">
        <v>64</v>
      </c>
      <c r="C30" s="9"/>
      <c r="D30" s="10"/>
      <c r="E30" s="18">
        <v>50.0</v>
      </c>
      <c r="F30" s="10"/>
      <c r="G30" s="19" t="s">
        <v>48</v>
      </c>
      <c r="H30" s="20" t="s">
        <v>54</v>
      </c>
    </row>
    <row r="31" ht="19.5" customHeight="1">
      <c r="A31" s="25"/>
      <c r="B31" s="26" t="s">
        <v>65</v>
      </c>
      <c r="C31" s="9"/>
      <c r="D31" s="10"/>
      <c r="E31" s="27">
        <f>SUM(E18:E30)</f>
        <v>10719</v>
      </c>
      <c r="F31" s="10"/>
      <c r="G31" s="25"/>
      <c r="H31" s="28" t="s">
        <v>66</v>
      </c>
    </row>
    <row r="32" ht="15.75" customHeight="1"/>
    <row r="33" ht="24.0" customHeight="1">
      <c r="A33" s="6" t="s">
        <v>67</v>
      </c>
      <c r="B33" s="2"/>
      <c r="C33" s="2"/>
      <c r="D33" s="2"/>
      <c r="E33" s="2"/>
      <c r="F33" s="2"/>
      <c r="G33" s="2"/>
      <c r="H33" s="3"/>
    </row>
    <row r="34" ht="15.75" customHeight="1">
      <c r="A34" s="12" t="s">
        <v>68</v>
      </c>
      <c r="B34" s="12" t="s">
        <v>42</v>
      </c>
      <c r="C34" s="13" t="s">
        <v>69</v>
      </c>
      <c r="D34" s="10"/>
      <c r="E34" s="14" t="s">
        <v>70</v>
      </c>
      <c r="F34" s="14" t="s">
        <v>71</v>
      </c>
      <c r="G34" s="11" t="s">
        <v>45</v>
      </c>
      <c r="H34" s="12" t="s">
        <v>72</v>
      </c>
    </row>
    <row r="35" ht="25.5" customHeight="1">
      <c r="A35" s="29" t="s">
        <v>73</v>
      </c>
      <c r="B35" s="30" t="s">
        <v>74</v>
      </c>
      <c r="C35" s="31" t="s">
        <v>75</v>
      </c>
      <c r="D35" s="10"/>
      <c r="E35" s="32" t="s">
        <v>76</v>
      </c>
      <c r="F35" s="33">
        <v>5977000.0</v>
      </c>
      <c r="G35" s="34" t="s">
        <v>77</v>
      </c>
      <c r="H35" s="35" t="s">
        <v>78</v>
      </c>
    </row>
    <row r="36" ht="25.5" customHeight="1">
      <c r="A36" s="36" t="s">
        <v>73</v>
      </c>
      <c r="B36" s="37" t="s">
        <v>79</v>
      </c>
      <c r="C36" s="38" t="s">
        <v>75</v>
      </c>
      <c r="D36" s="10"/>
      <c r="E36" s="39" t="s">
        <v>76</v>
      </c>
      <c r="F36" s="40">
        <v>800000.0</v>
      </c>
      <c r="G36" s="34" t="s">
        <v>77</v>
      </c>
      <c r="H36" s="41" t="s">
        <v>80</v>
      </c>
    </row>
    <row r="37" ht="25.5" customHeight="1">
      <c r="A37" s="29" t="s">
        <v>73</v>
      </c>
      <c r="B37" s="30" t="s">
        <v>52</v>
      </c>
      <c r="C37" s="31" t="s">
        <v>75</v>
      </c>
      <c r="D37" s="10"/>
      <c r="E37" s="32" t="s">
        <v>76</v>
      </c>
      <c r="F37" s="33">
        <v>210000.0</v>
      </c>
      <c r="G37" s="34" t="s">
        <v>77</v>
      </c>
      <c r="H37" s="35" t="s">
        <v>81</v>
      </c>
    </row>
    <row r="38" ht="25.5" customHeight="1">
      <c r="A38" s="36" t="s">
        <v>82</v>
      </c>
      <c r="B38" s="37" t="s">
        <v>83</v>
      </c>
      <c r="C38" s="38" t="s">
        <v>84</v>
      </c>
      <c r="D38" s="10"/>
      <c r="E38" s="39" t="s">
        <v>76</v>
      </c>
      <c r="F38" s="39" t="s">
        <v>76</v>
      </c>
      <c r="G38" s="34" t="s">
        <v>85</v>
      </c>
      <c r="H38" s="41" t="s">
        <v>86</v>
      </c>
    </row>
    <row r="39" ht="25.5" customHeight="1">
      <c r="A39" s="29" t="s">
        <v>87</v>
      </c>
      <c r="B39" s="30" t="s">
        <v>88</v>
      </c>
      <c r="C39" s="31" t="s">
        <v>89</v>
      </c>
      <c r="D39" s="10"/>
      <c r="E39" s="32" t="s">
        <v>76</v>
      </c>
      <c r="F39" s="32" t="s">
        <v>76</v>
      </c>
      <c r="G39" s="42" t="s">
        <v>90</v>
      </c>
      <c r="H39" s="35" t="s">
        <v>91</v>
      </c>
    </row>
    <row r="40" ht="25.5" customHeight="1">
      <c r="A40" s="36" t="s">
        <v>87</v>
      </c>
      <c r="B40" s="37" t="s">
        <v>61</v>
      </c>
      <c r="C40" s="38" t="s">
        <v>89</v>
      </c>
      <c r="D40" s="10"/>
      <c r="E40" s="39" t="s">
        <v>76</v>
      </c>
      <c r="F40" s="39" t="s">
        <v>76</v>
      </c>
      <c r="G40" s="42" t="s">
        <v>90</v>
      </c>
      <c r="H40" s="41" t="s">
        <v>92</v>
      </c>
    </row>
    <row r="41" ht="25.5" customHeight="1">
      <c r="A41" s="29" t="s">
        <v>93</v>
      </c>
      <c r="B41" s="30" t="s">
        <v>94</v>
      </c>
      <c r="C41" s="31" t="s">
        <v>95</v>
      </c>
      <c r="D41" s="10"/>
      <c r="E41" s="43">
        <v>50.0</v>
      </c>
      <c r="F41" s="32" t="s">
        <v>76</v>
      </c>
      <c r="G41" s="34" t="s">
        <v>85</v>
      </c>
      <c r="H41" s="35" t="s">
        <v>96</v>
      </c>
    </row>
    <row r="42" ht="18.0" customHeight="1">
      <c r="A42" s="44" t="s">
        <v>97</v>
      </c>
      <c r="B42" s="9"/>
      <c r="C42" s="9"/>
      <c r="D42" s="10"/>
      <c r="E42" s="45" t="s">
        <v>76</v>
      </c>
      <c r="F42" s="46" t="s">
        <v>98</v>
      </c>
      <c r="G42" s="25"/>
      <c r="H42" s="28" t="s">
        <v>99</v>
      </c>
    </row>
    <row r="43" ht="15.75" customHeight="1"/>
    <row r="44" ht="24.0" customHeight="1">
      <c r="A44" s="6" t="s">
        <v>100</v>
      </c>
      <c r="B44" s="2"/>
      <c r="C44" s="2"/>
      <c r="D44" s="2"/>
      <c r="E44" s="2"/>
      <c r="F44" s="2"/>
      <c r="G44" s="2"/>
      <c r="H44" s="3"/>
    </row>
    <row r="45" ht="15.75" customHeight="1">
      <c r="A45" s="13" t="s">
        <v>42</v>
      </c>
      <c r="B45" s="9"/>
      <c r="C45" s="9"/>
      <c r="D45" s="10"/>
      <c r="E45" s="47" t="s">
        <v>101</v>
      </c>
      <c r="F45" s="10"/>
      <c r="G45" s="48" t="s">
        <v>45</v>
      </c>
      <c r="H45" s="10"/>
    </row>
    <row r="46" ht="15.75" customHeight="1">
      <c r="A46" s="8" t="s">
        <v>102</v>
      </c>
      <c r="B46" s="9"/>
      <c r="C46" s="9"/>
      <c r="D46" s="10"/>
      <c r="E46" s="49" t="s">
        <v>103</v>
      </c>
      <c r="F46" s="10"/>
      <c r="G46" s="50" t="s">
        <v>104</v>
      </c>
      <c r="H46" s="10"/>
    </row>
    <row r="47" ht="15.75" customHeight="1">
      <c r="A47" s="51" t="s">
        <v>105</v>
      </c>
      <c r="B47" s="9"/>
      <c r="C47" s="9"/>
      <c r="D47" s="10"/>
      <c r="E47" s="52" t="s">
        <v>106</v>
      </c>
      <c r="F47" s="10"/>
      <c r="G47" s="53" t="s">
        <v>107</v>
      </c>
      <c r="H47" s="10"/>
    </row>
    <row r="48" ht="15.75" customHeight="1">
      <c r="A48" s="54" t="s">
        <v>108</v>
      </c>
      <c r="B48" s="9"/>
      <c r="C48" s="9"/>
      <c r="D48" s="10"/>
      <c r="E48" s="55" t="s">
        <v>109</v>
      </c>
      <c r="F48" s="10"/>
      <c r="G48" s="56" t="s">
        <v>110</v>
      </c>
      <c r="H48" s="10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51" t="s">
        <v>111</v>
      </c>
      <c r="B49" s="9"/>
      <c r="C49" s="9"/>
      <c r="D49" s="10"/>
      <c r="E49" s="52" t="s">
        <v>112</v>
      </c>
      <c r="F49" s="10"/>
      <c r="G49" s="50" t="s">
        <v>113</v>
      </c>
      <c r="H49" s="10"/>
    </row>
    <row r="50" ht="15.75" customHeight="1">
      <c r="A50" s="8" t="s">
        <v>114</v>
      </c>
      <c r="B50" s="9"/>
      <c r="C50" s="9"/>
      <c r="D50" s="10"/>
      <c r="E50" s="49" t="s">
        <v>89</v>
      </c>
      <c r="F50" s="10"/>
      <c r="G50" s="53" t="s">
        <v>90</v>
      </c>
      <c r="H50" s="10"/>
    </row>
    <row r="51" ht="15.75" customHeight="1"/>
    <row r="52" ht="24.0" customHeight="1">
      <c r="A52" s="6" t="s">
        <v>115</v>
      </c>
      <c r="B52" s="2"/>
      <c r="C52" s="2"/>
      <c r="D52" s="2"/>
      <c r="E52" s="2"/>
      <c r="F52" s="2"/>
      <c r="G52" s="2"/>
      <c r="H52" s="3"/>
    </row>
    <row r="53" ht="31.5" customHeight="1">
      <c r="A53" s="58" t="s">
        <v>116</v>
      </c>
      <c r="B53" s="59" t="s">
        <v>117</v>
      </c>
      <c r="C53" s="9"/>
      <c r="D53" s="9"/>
      <c r="E53" s="9"/>
      <c r="F53" s="9"/>
      <c r="G53" s="9"/>
      <c r="H53" s="10"/>
    </row>
    <row r="54" ht="31.5" customHeight="1">
      <c r="A54" s="58" t="s">
        <v>118</v>
      </c>
      <c r="B54" s="59" t="s">
        <v>119</v>
      </c>
      <c r="C54" s="9"/>
      <c r="D54" s="9"/>
      <c r="E54" s="9"/>
      <c r="F54" s="9"/>
      <c r="G54" s="9"/>
      <c r="H54" s="10"/>
    </row>
    <row r="55" ht="31.5" customHeight="1">
      <c r="A55" s="58" t="s">
        <v>120</v>
      </c>
      <c r="B55" s="59" t="s">
        <v>121</v>
      </c>
      <c r="C55" s="9"/>
      <c r="D55" s="9"/>
      <c r="E55" s="9"/>
      <c r="F55" s="9"/>
      <c r="G55" s="9"/>
      <c r="H55" s="10"/>
    </row>
    <row r="56" ht="31.5" customHeight="1">
      <c r="A56" s="58" t="s">
        <v>122</v>
      </c>
      <c r="B56" s="59" t="s">
        <v>123</v>
      </c>
      <c r="C56" s="9"/>
      <c r="D56" s="9"/>
      <c r="E56" s="9"/>
      <c r="F56" s="9"/>
      <c r="G56" s="9"/>
      <c r="H56" s="10"/>
    </row>
    <row r="57" ht="31.5" customHeight="1">
      <c r="A57" s="58" t="s">
        <v>124</v>
      </c>
      <c r="B57" s="59" t="s">
        <v>125</v>
      </c>
      <c r="C57" s="9"/>
      <c r="D57" s="9"/>
      <c r="E57" s="9"/>
      <c r="F57" s="9"/>
      <c r="G57" s="9"/>
      <c r="H57" s="10"/>
    </row>
    <row r="58" ht="31.5" customHeight="1">
      <c r="A58" s="58" t="s">
        <v>126</v>
      </c>
      <c r="B58" s="59" t="s">
        <v>127</v>
      </c>
      <c r="C58" s="9"/>
      <c r="D58" s="9"/>
      <c r="E58" s="9"/>
      <c r="F58" s="9"/>
      <c r="G58" s="9"/>
      <c r="H58" s="10"/>
    </row>
    <row r="59" ht="15.75" customHeight="1"/>
    <row r="60" ht="15.75" customHeight="1">
      <c r="A60" s="60" t="s">
        <v>128</v>
      </c>
    </row>
    <row r="61" ht="15.75" customHeight="1">
      <c r="A61" s="60" t="s">
        <v>129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31:D31"/>
    <mergeCell ref="E31:F31"/>
    <mergeCell ref="A33:H33"/>
    <mergeCell ref="C34:D34"/>
    <mergeCell ref="C35:D35"/>
    <mergeCell ref="C36:D36"/>
    <mergeCell ref="C37:D37"/>
    <mergeCell ref="E45:F45"/>
    <mergeCell ref="G45:H45"/>
    <mergeCell ref="C38:D38"/>
    <mergeCell ref="C39:D39"/>
    <mergeCell ref="C40:D40"/>
    <mergeCell ref="C41:D41"/>
    <mergeCell ref="A42:D42"/>
    <mergeCell ref="A44:H44"/>
    <mergeCell ref="A45:D45"/>
    <mergeCell ref="E48:F48"/>
    <mergeCell ref="G48:H48"/>
    <mergeCell ref="A46:D46"/>
    <mergeCell ref="E46:F46"/>
    <mergeCell ref="G46:H46"/>
    <mergeCell ref="A47:D47"/>
    <mergeCell ref="E47:F47"/>
    <mergeCell ref="G47:H47"/>
    <mergeCell ref="A48:D48"/>
    <mergeCell ref="B53:H53"/>
    <mergeCell ref="B54:H54"/>
    <mergeCell ref="B55:H55"/>
    <mergeCell ref="B56:H56"/>
    <mergeCell ref="B57:H57"/>
    <mergeCell ref="B58:H58"/>
    <mergeCell ref="A60:H60"/>
    <mergeCell ref="A61:H61"/>
    <mergeCell ref="A49:D49"/>
    <mergeCell ref="E49:F49"/>
    <mergeCell ref="G49:H49"/>
    <mergeCell ref="A50:D50"/>
    <mergeCell ref="E50:F50"/>
    <mergeCell ref="G50:H50"/>
    <mergeCell ref="A52:H52"/>
    <mergeCell ref="B7:D7"/>
    <mergeCell ref="B8:D8"/>
    <mergeCell ref="B9:D9"/>
    <mergeCell ref="B10:D10"/>
    <mergeCell ref="B11:D11"/>
    <mergeCell ref="B12:D12"/>
    <mergeCell ref="B13:D13"/>
    <mergeCell ref="B14:D14"/>
    <mergeCell ref="A1:H1"/>
    <mergeCell ref="A2:H2"/>
    <mergeCell ref="A3:H3"/>
    <mergeCell ref="A5:H5"/>
    <mergeCell ref="B6:D6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A16:H16"/>
    <mergeCell ref="C17:D17"/>
    <mergeCell ref="B18:D18"/>
    <mergeCell ref="E18:F18"/>
    <mergeCell ref="B19:D19"/>
    <mergeCell ref="E19:F19"/>
    <mergeCell ref="E20:F20"/>
    <mergeCell ref="B20:D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E27:F27"/>
    <mergeCell ref="B27:D27"/>
    <mergeCell ref="B28:D28"/>
    <mergeCell ref="E28:F28"/>
    <mergeCell ref="B29:D29"/>
    <mergeCell ref="E29:F29"/>
    <mergeCell ref="B30:D30"/>
    <mergeCell ref="E30:F3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2026-07-21T15:43:42Z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