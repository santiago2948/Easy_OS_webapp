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por proveedor" sheetId="1" r:id="rId4"/>
    <sheet state="visible" name="Detalle filtrable" sheetId="2" r:id="rId5"/>
  </sheets>
  <definedNames>
    <definedName hidden="1" localSheetId="0" name="_xlnm._FilterDatabase">'Resumen por proveedor'!$A$4:$F$25</definedName>
    <definedName hidden="1" localSheetId="1" name="_xlnm._FilterDatabase">'Detalle filtrable'!$A$4:$J$70</definedName>
  </definedNames>
  <calcPr/>
  <extLst>
    <ext uri="GoogleSheetsCustomDataVersion2">
      <go:sheetsCustomData xmlns:go="http://customooxmlschemas.google.com/" r:id="rId6" roundtripDataChecksum="i9FLpSAlD6rrkRv0kMWJbFhoCGpJhVD8gOZAKXtY9R4="/>
    </ext>
  </extLst>
</workbook>
</file>

<file path=xl/sharedStrings.xml><?xml version="1.0" encoding="utf-8"?>
<sst xmlns="http://schemas.openxmlformats.org/spreadsheetml/2006/main" count="743" uniqueCount="338">
  <si>
    <t>OPERACIONES ACTIVAS POR PROVEEDOR — Easy Logistics · 22-jul-2026</t>
  </si>
  <si>
    <t>Cuántas operaciones activas tienes con cada proveedor y en qué van, para consolidar tus llamadas. El # de operaciones se calcula solo (COUNTIF) sobre la hoja 'Detalle filtrable'. Ordenado de más a menos operaciones.</t>
  </si>
  <si>
    <t>Proveedor</t>
  </si>
  <si>
    <t>Rol principal</t>
  </si>
  <si>
    <t># Operaciones</t>
  </si>
  <si>
    <t>Críticas</t>
  </si>
  <si>
    <t>Altas</t>
  </si>
  <si>
    <t>Contacto / nota</t>
  </si>
  <si>
    <t>Tri Cargo</t>
  </si>
  <si>
    <t>Aduana / DO</t>
  </si>
  <si>
    <t>Edison Cárdenas (comercial3), customerservice2, importaciones, Laura Sarmiento (trámites)</t>
  </si>
  <si>
    <t>Anker</t>
  </si>
  <si>
    <t>Flete / consolidación</t>
  </si>
  <si>
    <t>Andrea Segura (comercial11), Angela Castro (transportes), radicaciones1, cartera</t>
  </si>
  <si>
    <t>Interlogística ZF</t>
  </si>
  <si>
    <t>Aduana ZF Cartagena</t>
  </si>
  <si>
    <t>Stefania Torres (storres), Katherin Soler (ksoler), cartera</t>
  </si>
  <si>
    <t>Aggio</t>
  </si>
  <si>
    <t>Flete origen</t>
  </si>
  <si>
    <t>Caton Huang / Zeal Liu (overseas)</t>
  </si>
  <si>
    <t>Interlace</t>
  </si>
  <si>
    <t>Aduana (grupo)</t>
  </si>
  <si>
    <t>Aduana Grupo Interlace</t>
  </si>
  <si>
    <t>Andes (AndesbyApex)</t>
  </si>
  <si>
    <t>Flete / agente origen</t>
  </si>
  <si>
    <t>Liz Sanabria, Tania Castaño (@andesbyapex.com)</t>
  </si>
  <si>
    <t>Ascointer</t>
  </si>
  <si>
    <t>Aduana del cliente</t>
  </si>
  <si>
    <t>Samary Valencia, Auristela Atencio (despachosbun2)</t>
  </si>
  <si>
    <t>GL Cargo</t>
  </si>
  <si>
    <t>Jennifer Aroca, Karen Sánchez, Camilo Pita (operaciones1)</t>
  </si>
  <si>
    <t>HAPO Customs</t>
  </si>
  <si>
    <t>Aduana</t>
  </si>
  <si>
    <t>Diego Sabogal (NIT 860533331-0)</t>
  </si>
  <si>
    <t>MSL Corporate</t>
  </si>
  <si>
    <t>Aéreo / agente</t>
  </si>
  <si>
    <t>aereoimpo@mslcorporate; insales8</t>
  </si>
  <si>
    <t>Quick</t>
  </si>
  <si>
    <t>Terrestre (inland)</t>
  </si>
  <si>
    <t>yuli.verjan@quick.com.co</t>
  </si>
  <si>
    <t>Terrestre (por adjudicar)</t>
  </si>
  <si>
    <t>Terrestre SPIA→Bogotá</t>
  </si>
  <si>
    <t>Logysteel / Humadea / Quick</t>
  </si>
  <si>
    <t>Aduana (por definir)</t>
  </si>
  <si>
    <t>Agencia por asignar</t>
  </si>
  <si>
    <t>Agente origen (Great Ally)</t>
  </si>
  <si>
    <t>Agente origen</t>
  </si>
  <si>
    <t>Great Ally (origen)</t>
  </si>
  <si>
    <t>Aintercarga</t>
  </si>
  <si>
    <t>Depósito aéreo</t>
  </si>
  <si>
    <t>Depósito aéreo TC2</t>
  </si>
  <si>
    <t>Cargotrading / Asiaship</t>
  </si>
  <si>
    <t>Flete origen China</t>
  </si>
  <si>
    <t>Finkargo</t>
  </si>
  <si>
    <t>Garantía / financiación</t>
  </si>
  <si>
    <t>Garantía de importación</t>
  </si>
  <si>
    <t>Mara Business</t>
  </si>
  <si>
    <t>Certificado de origen</t>
  </si>
  <si>
    <t>operation1@marabusiness.com</t>
  </si>
  <si>
    <t>Merco</t>
  </si>
  <si>
    <t>Jessica Ruiz</t>
  </si>
  <si>
    <t>Quick Help</t>
  </si>
  <si>
    <t>Transporte</t>
  </si>
  <si>
    <t>Yuli Verján (placa LUW963)</t>
  </si>
  <si>
    <t>Vértice Seguros</t>
  </si>
  <si>
    <t>Seguro</t>
  </si>
  <si>
    <t>Daniel Rodríguez, Janneth Rincón (driana.cruz@ REBOTA)</t>
  </si>
  <si>
    <t>DETALLE FILTRABLE — una fila por operación × proveedor · 22-jul-2026</t>
  </si>
  <si>
    <t>Filtra por la columna 'Proveedor' para ver todas tus operaciones activas con ese aliado y qué está pendiente con cada uno. Una operación aparece en varias filas si involucra a varios proveedores.</t>
  </si>
  <si>
    <t>Rol</t>
  </si>
  <si>
    <t>Urgencia</t>
  </si>
  <si>
    <t>QT / Ref</t>
  </si>
  <si>
    <t>Cliente</t>
  </si>
  <si>
    <t>Modalidad / Ruta</t>
  </si>
  <si>
    <t>Etapa actual</t>
  </si>
  <si>
    <t>Pendiente con ESTE proveedor</t>
  </si>
  <si>
    <t>Referencia (DO/BL/Job)</t>
  </si>
  <si>
    <t>Últ. act.</t>
  </si>
  <si>
    <t>ALTA</t>
  </si>
  <si>
    <t>QT-25192</t>
  </si>
  <si>
    <t>Papagayo es Color</t>
  </si>
  <si>
    <t>Impo LCL · Nhava Sheva (India)→Buenaventura</t>
  </si>
  <si>
    <t>En tránsito; ETA 27/07; alistamiento documental</t>
  </si>
  <si>
    <t>Asignar la agencia de aduanas y radicar la instrucción esta semana</t>
  </si>
  <si>
    <t>—</t>
  </si>
  <si>
    <t>14-jul</t>
  </si>
  <si>
    <t>MEDIA</t>
  </si>
  <si>
    <t>QT-25353</t>
  </si>
  <si>
    <t>INSEC Agropecuaria</t>
  </si>
  <si>
    <t>Impo FCL 1x20 · Shanghái→Buenaventura</t>
  </si>
  <si>
    <t>Prealerta; ETA primeros días de agosto</t>
  </si>
  <si>
    <t>Certificación de fletes y documentos originales / certificado de origen</t>
  </si>
  <si>
    <t>16-jul</t>
  </si>
  <si>
    <t>QT-25265</t>
  </si>
  <si>
    <t>Internacional de Eléctricos</t>
  </si>
  <si>
    <t>Impo FCL 1x20 + OTM · Ningbo→Buenaventura</t>
  </si>
  <si>
    <t>Cambio a nacionalización EN PUERTO; BL liberado; crédito $50M ok</t>
  </si>
  <si>
    <t>Flete pagado (US$5.062); sin pendiente de pago</t>
  </si>
  <si>
    <t>HBL AGLE2605497 · Ref 2605182201</t>
  </si>
  <si>
    <t>21-jul</t>
  </si>
  <si>
    <t>QT-25266</t>
  </si>
  <si>
    <t>Megalac (IMP088)</t>
  </si>
  <si>
    <t>Impo FCL 2x40 · Qingdao→Buenaventura→Zipaquirá</t>
  </si>
  <si>
    <t>Disputa de factura encaminada; falta liberar BL + factura de flete + DIM</t>
  </si>
  <si>
    <t>Definir/confirmar el pago del flete</t>
  </si>
  <si>
    <t>MBL 270128569 · HBL AGLE2605472</t>
  </si>
  <si>
    <t>QT-25284</t>
  </si>
  <si>
    <t>Megalac (IMP089)</t>
  </si>
  <si>
    <t>Impo FCL 2x40 · Qingdao→Buenaventura</t>
  </si>
  <si>
    <t>Arribada 15/07; radicada en Muisca; sin liberar BLs</t>
  </si>
  <si>
    <t>HBL telex liberado; fijar el calendario de pago del flete</t>
  </si>
  <si>
    <t>MBL 271637946 · HBL AGLE2606164</t>
  </si>
  <si>
    <t>17-jul</t>
  </si>
  <si>
    <t>Saldo MBL origen</t>
  </si>
  <si>
    <t>QT-25286</t>
  </si>
  <si>
    <t>Velma (OTM a ZF Bogotá)</t>
  </si>
  <si>
    <t>Impo FCL + OTM · Ningbo→Buenaventura→ZF Bogotá</t>
  </si>
  <si>
    <t>Arribó ~17/07; OTM reservado; falta emisión MBL y pago anticipo</t>
  </si>
  <si>
    <t>Confirmar el pago del saldo del MBL (USD 6.462)</t>
  </si>
  <si>
    <t>HBL AGLE2606315</t>
  </si>
  <si>
    <t>22-jul</t>
  </si>
  <si>
    <t>QT-25278</t>
  </si>
  <si>
    <t>XP-PEN</t>
  </si>
  <si>
    <t>Impo aérea · Shenzhen (vía LHR)→Bogotá</t>
  </si>
  <si>
    <t>LEVANTE 15/07; falta pago del cliente y entrega</t>
  </si>
  <si>
    <t>Pagar el bodegaje (Factura 94407, $672.219) para autorizar la salida</t>
  </si>
  <si>
    <t>Planilla 1178</t>
  </si>
  <si>
    <t>CRÍTICA</t>
  </si>
  <si>
    <t>QT-25363</t>
  </si>
  <si>
    <t>Fatexcol (Mundra)</t>
  </si>
  <si>
    <t>Impo FCL 40HC · Mundra (India)→Buenaventura</t>
  </si>
  <si>
    <t>ARRIBÓ 21/07; anticipada rechazada → OTM + Zona Franca del Pacífico</t>
  </si>
  <si>
    <t>Pagar el flete (cotización 157521) y que liberen el MBL en destino</t>
  </si>
  <si>
    <t>MBL MEDUJ7873147 · Cont. TRHU7721857</t>
  </si>
  <si>
    <t>SMDE00360861</t>
  </si>
  <si>
    <t>Fatexcol (Mundra 2)</t>
  </si>
  <si>
    <t>En tránsito; ETA 16-ago; HBL sin aprobar</t>
  </si>
  <si>
    <t>Aprobar el borrador de HBL TL/HBL/082149 y programar el pago (cotización 157687)</t>
  </si>
  <si>
    <t>MBL 271650171</t>
  </si>
  <si>
    <t>07-jul</t>
  </si>
  <si>
    <t>QT-24948</t>
  </si>
  <si>
    <t>Hass Oil Company</t>
  </si>
  <si>
    <t>Expo LCL · Cartagena→Valencia (España)</t>
  </si>
  <si>
    <t>Booking rolado; carga en puerto CTG, nueva reserva zarpe 06-ago</t>
  </si>
  <si>
    <t>Cierre documental 28/07; factura Anker ~$851.916 por pagar</t>
  </si>
  <si>
    <t>HBL SEB-01233-2026</t>
  </si>
  <si>
    <t>Flete (LCL) / cartera</t>
  </si>
  <si>
    <t>QT-25209</t>
  </si>
  <si>
    <t>Vertical Tech (1ª op)</t>
  </si>
  <si>
    <t>Impo LCL · Qingdao→Buenaventura</t>
  </si>
  <si>
    <t>Frenada +7 semanas; riesgo de ABANDONO; se destraba por HAPO</t>
  </si>
  <si>
    <t>Factura SIJ-01540 VENCIDA (04-jun) — programar pago; confirmar agencia autorizada</t>
  </si>
  <si>
    <t>Job SIJ-01540-2026 · HBL QDWJ260409638</t>
  </si>
  <si>
    <t>Flete / demoras</t>
  </si>
  <si>
    <t>QT-25225</t>
  </si>
  <si>
    <t>Envaecol</t>
  </si>
  <si>
    <t>Impo FCL 40HC · Ningbo→Buenaventura</t>
  </si>
  <si>
    <t>Demoras pagadas 17/07; sin levante, sin retiro, DIM sin digitar</t>
  </si>
  <si>
    <t>Demoras pagadas (COP 2.720.414); confirmar días libres PIL y estado real</t>
  </si>
  <si>
    <t>Job SIJ-01697-2026 · HBL NB265B0019</t>
  </si>
  <si>
    <t>Flete (LCL)</t>
  </si>
  <si>
    <t>QT-25277</t>
  </si>
  <si>
    <t>Vertical Tech (2ª op)</t>
  </si>
  <si>
    <t>Impo LCL · Shanghái→Buenaventura→Bogotá</t>
  </si>
  <si>
    <t>Arribó 18/07 (1 día libre); bodegajes corriendo</t>
  </si>
  <si>
    <t>Telex liberado; validar tarifa/cartera</t>
  </si>
  <si>
    <t>Job SIJ-01943-2026 · HBL SHABANQ50036</t>
  </si>
  <si>
    <t>OTM a ZF Pacífico</t>
  </si>
  <si>
    <t>Cerrar el OTM Buenaventura→ZF del Pacífico (confirmar depósito, NIT y código Muisca)</t>
  </si>
  <si>
    <t>OTM en cotización</t>
  </si>
  <si>
    <t>Flete (LCL) / agente origen UFM</t>
  </si>
  <si>
    <t>Autorizar la liberación/telex en destino</t>
  </si>
  <si>
    <t>Order SIJ-01767-2026 · HBL UFM126040977</t>
  </si>
  <si>
    <t>QT-25237</t>
  </si>
  <si>
    <t>Suministros Xerox</t>
  </si>
  <si>
    <t>Impo LCL · Shenzhen→Buenaventura→Bogotá</t>
  </si>
  <si>
    <t>LEVANTE 17/07; falta terrestre a Bogotá y liquidar bodegajes</t>
  </si>
  <si>
    <t>Cartera: factura SIJ-01540 vencida (misma cuenta Anker)</t>
  </si>
  <si>
    <t>Job SIJ-01609-2026</t>
  </si>
  <si>
    <t>OTM (abandonado)</t>
  </si>
  <si>
    <t>Sin desistimiento (el OTM nunca se presentó); el cambio de disposición lo hace el agente de carga</t>
  </si>
  <si>
    <t>RSV FB-00209-2026</t>
  </si>
  <si>
    <t>OTM a ZF Bogotá</t>
  </si>
  <si>
    <t>Pagar el anticipo y enviar factura con Incoterm + packing en PDF, HBL corregido, descripción en español, días libres</t>
  </si>
  <si>
    <t>OTM FB-00212-2026</t>
  </si>
  <si>
    <t>OTM y transporte</t>
  </si>
  <si>
    <t>QT-25161</t>
  </si>
  <si>
    <t>Sentsas (OTM a ZF)</t>
  </si>
  <si>
    <t>Impo FCL + OTM · Fuzhou→Buenaventura→ZF ZOFIVA</t>
  </si>
  <si>
    <t>Entregada en ZOFIVA; falta facturar gastos portuarios</t>
  </si>
  <si>
    <t>Programar el pago (misma cartera SIJ-01540 vencida)</t>
  </si>
  <si>
    <t>Job FJ-00164-2026 / FB-00169-2026</t>
  </si>
  <si>
    <t>15-jul</t>
  </si>
  <si>
    <t>Flete</t>
  </si>
  <si>
    <t>QT-25221</t>
  </si>
  <si>
    <t>Wirecol (Santos)</t>
  </si>
  <si>
    <t>Impo FCL · Santos (Brasil)→Cartagena</t>
  </si>
  <si>
    <t>CERRADA operativamente; pendiente cierre de facturación</t>
  </si>
  <si>
    <t>Costos pagados 17/06; sin pendiente operativo</t>
  </si>
  <si>
    <t>Job SIJ-01688-2026 · HBL CME26008172</t>
  </si>
  <si>
    <t>06-jul</t>
  </si>
  <si>
    <t>QT-25261</t>
  </si>
  <si>
    <t>Sentsas</t>
  </si>
  <si>
    <t>Impo FCL 40HC · Fuzhou→Buenaventura</t>
  </si>
  <si>
    <t>Liberación emitida 10/07; sin respuesta con el DO (13+ días)</t>
  </si>
  <si>
    <t>Responder a Samary Valencia con el DO TRIC-21871 y verificar el retiro</t>
  </si>
  <si>
    <t>HBL AGLE2605432</t>
  </si>
  <si>
    <t>Conciliar el cierre con la clienta</t>
  </si>
  <si>
    <t>Conseguir los soportes de gastos portuarios para facturar ($1.389.364)</t>
  </si>
  <si>
    <t>Confirmar la garantía para la emisión del MBL</t>
  </si>
  <si>
    <t>Confirmar la emisión del MBL en destino y la agencia de aduana (bloquea la liberación)</t>
  </si>
  <si>
    <t>MBL EGLV143660260532 · DO 4627</t>
  </si>
  <si>
    <t>S/QT · DO 4637</t>
  </si>
  <si>
    <t>Cliente por identificar</t>
  </si>
  <si>
    <t>Impo marítima · ETA 25-jul</t>
  </si>
  <si>
    <t>GL pide los BLs para radicar; cliente sin identificar</t>
  </si>
  <si>
    <t>Identificar el embarque y enviar los BLs para radicar el MBL</t>
  </si>
  <si>
    <t>MBL ZIMUSHH32163885 · DO 4637</t>
  </si>
  <si>
    <t>Cerrar la liberación ya autorizada (confirmar a Anker y radicar) para nacionalizar sin depender de la creación</t>
  </si>
  <si>
    <t>NIT 860533331-0</t>
  </si>
  <si>
    <t>Radicar/desconsolidar con la autorización de liberación ya enviada (BL por BL); conseguir factura/packing finales a 3 bultos</t>
  </si>
  <si>
    <t>Diego Sabogal · NIT 860533331-0</t>
  </si>
  <si>
    <t>Coordinar inspección/nacionalización de la exportación</t>
  </si>
  <si>
    <t>QT-25320</t>
  </si>
  <si>
    <t>Fatexcol (Charleston)</t>
  </si>
  <si>
    <t>Impo FCL · Charleston→Cartagena (Contecar)</t>
  </si>
  <si>
    <t>Levante otorgado; retiro frenado por $16M de sobrecostos, demoras corriendo</t>
  </si>
  <si>
    <t>Apoyo en radicación por puerto (poderes SPRBUN/SPIA pendientes)</t>
  </si>
  <si>
    <t>Aduana anticipada</t>
  </si>
  <si>
    <t>Nacionalizada (~19/06); soporte de factura final</t>
  </si>
  <si>
    <t>QT-25351</t>
  </si>
  <si>
    <t>Letto (4º contenedor)</t>
  </si>
  <si>
    <t>Expo FCL · Cartagena→St. Vincent</t>
  </si>
  <si>
    <t>Perdió el corte del 20/07; SAE+selectividad enviadas; espera motonave</t>
  </si>
  <si>
    <t>Soporte del ingreso/anticipo del cargue</t>
  </si>
  <si>
    <t>D.O CTGE0272978 · SAE 6027771266991</t>
  </si>
  <si>
    <t>QT-25253</t>
  </si>
  <si>
    <t>Letto (1er contenedor)</t>
  </si>
  <si>
    <t>Expo FCL · Bogotá/Cartagena→St. Vincent</t>
  </si>
  <si>
    <t>Arribada; FACTURADA (FV-2-1405); pendiente confirmar entrega</t>
  </si>
  <si>
    <t>Cierre documental de la exportación</t>
  </si>
  <si>
    <t>D.O CTGE0271170</t>
  </si>
  <si>
    <t>QT-25294</t>
  </si>
  <si>
    <t>Letto (2º contenedor)</t>
  </si>
  <si>
    <t>Arribó a Kingstown, en descargue; facturación en stand by</t>
  </si>
  <si>
    <t>Rehacer la hoja de liquidación (propios/terceros con valores) para facturar (preliq US$10.719)</t>
  </si>
  <si>
    <t>D.O CTGE0271382</t>
  </si>
  <si>
    <t>QT-25360</t>
  </si>
  <si>
    <t>Letto (5º contenedor)</t>
  </si>
  <si>
    <t>Contenedor cargado; SAE/planilla/terminal listos; corte doc 22/07</t>
  </si>
  <si>
    <t>Planilla de INGRESO a puerto + ANTICIPO (Néstor Robles); actualizar VUCE Antinarcóticos</t>
  </si>
  <si>
    <t>D.O CTGE0273080 · SAE 6027771267169</t>
  </si>
  <si>
    <t>QT-25365</t>
  </si>
  <si>
    <t>Letto CI (1ª importación)</t>
  </si>
  <si>
    <t>Impo FCL 40HQ · Yantian→Cartagena</t>
  </si>
  <si>
    <t>NUEVA; prealerta enviada; liquidación de tributos en curso</t>
  </si>
  <si>
    <t>Pasar la liquidación oficial de tributos (~COP 40M) y los requisitos (mandato/RUT/declaración andina)</t>
  </si>
  <si>
    <t>HBL AGLE2606390 · Cont. CAIU4419954</t>
  </si>
  <si>
    <t>CO físico en tránsito hacia Tri Cargo Bogotá (Calle 25B #81-36)</t>
  </si>
  <si>
    <t>FV-5-473</t>
  </si>
  <si>
    <t>Intercambiar datos del funcionario autorizado para reclamar documentos</t>
  </si>
  <si>
    <t>Reclamación por reacondicionamiento LHR abierta (sin costo confirmado)</t>
  </si>
  <si>
    <t>ROI:541593 · AWB DSI2606133</t>
  </si>
  <si>
    <t>QT-25326</t>
  </si>
  <si>
    <t>Wirecol (aéreo)</t>
  </si>
  <si>
    <t>Impo aérea · Chengdu/Shanghái→Bogotá</t>
  </si>
  <si>
    <t>Reconocimiento 16/07; DIM en digitación; almacenajes corriendo</t>
  </si>
  <si>
    <t>Confirmar la póliza de seguro (alto valor) y la certificación de fletes definitiva</t>
  </si>
  <si>
    <t>ROI:547935</t>
  </si>
  <si>
    <t>QT-25342</t>
  </si>
  <si>
    <t>Letto (3er contenedor)</t>
  </si>
  <si>
    <t>Expo FCL · Cartagena→St. Vincent (escala Miami)</t>
  </si>
  <si>
    <t>VARADO EN MIAMI desde 13/07; conexión bloqueada por falta de pago</t>
  </si>
  <si>
    <t>Confirmar adicionales del inland en destino</t>
  </si>
  <si>
    <t>Terrestre / llenado</t>
  </si>
  <si>
    <t>Confirmado recurso de llenado; cerrar novedades del cargue</t>
  </si>
  <si>
    <t>Ejecutar la entrega en Calle 77 #15-58 (Jhonatan Prado); placa LUW963</t>
  </si>
  <si>
    <t>$440.000</t>
  </si>
  <si>
    <t>Adjudicar: Logysteel $1.72M (más barato), Humadea/Quick ~$1.9-2.0M (libres C/D)</t>
  </si>
  <si>
    <t>22 ctns / 2,95 CBM</t>
  </si>
  <si>
    <t>Terrestre TCBUEN→Zipaquirá</t>
  </si>
  <si>
    <t>Adjudicar: Logysteel $6.4M+$1.48M (más barato), Humadea $7.9M+$2.5M, Quick $7.88M+$2.85M</t>
  </si>
  <si>
    <t>2x40 ~26 t</t>
  </si>
  <si>
    <t>Enviar el soporte del anticipo (bloquea facturas de puerto) y responder el requerimiento DIRAN; factura Tri Cargo ~$2.061.500 por pagar</t>
  </si>
  <si>
    <t>DO TRIC-21857</t>
  </si>
  <si>
    <t>Aduana / DO (cta. cliente)</t>
  </si>
  <si>
    <t>Destrabar el levante y el retiro y digitar la DIM (contenedor real FFAU7599110)</t>
  </si>
  <si>
    <t>DO TRIC-21762</t>
  </si>
  <si>
    <t>Cobrar/confirmar el pago de los $16M para generar la OTAN y tomar cita; poderes SPRBUN/Aguadulce</t>
  </si>
  <si>
    <t>DO TRIC-21988 · Cont. EITU9451138</t>
  </si>
  <si>
    <t>Aduana / DO / anticipo</t>
  </si>
  <si>
    <t>Pagar el anticipo USD 6.410 (Seaboard no conecta sin pago); aprobar el BL final para el telex</t>
  </si>
  <si>
    <t>DO TRIC-22058 · BL SMLU9124458A</t>
  </si>
  <si>
    <t>Reasignar motonave y confirmar la nueva fecha de zarpe (SAE 6027771266991 + selectividad ya enviadas)</t>
  </si>
  <si>
    <t>DO TRIC-21647 · BK BGA0533561</t>
  </si>
  <si>
    <t>Confirmar ZF exacta, dirección, NIT y código Muisca del depósito; poderes SPRBUN/SPIA</t>
  </si>
  <si>
    <t>QT-25363 (aduana)</t>
  </si>
  <si>
    <t>Aduana / registro</t>
  </si>
  <si>
    <t>QT-25236</t>
  </si>
  <si>
    <t>INCAP / JAB</t>
  </si>
  <si>
    <t>Impo (registro de importación)</t>
  </si>
  <si>
    <t>Registro 'en requerimiento'; Tri Cargo pregunta si continúa</t>
  </si>
  <si>
    <t>Responder continuidad y aportar el concepto técnico de la referencia (quieren facturar el registro)</t>
  </si>
  <si>
    <t>DO 21806</t>
  </si>
  <si>
    <t>Cerrar la liquidación de bodegajes del DO 22129 y la cuenta final</t>
  </si>
  <si>
    <t>D.O 22129</t>
  </si>
  <si>
    <t>Confirmar liberación/entrega al consignee y cerrar el BL corregido</t>
  </si>
  <si>
    <t>DO TRIC-21760</t>
  </si>
  <si>
    <t>QT-25258</t>
  </si>
  <si>
    <t>Suministros Xerox (CANCELADA)</t>
  </si>
  <si>
    <t>Impo FCL 1x40 · Wenzhou→Buenaventura</t>
  </si>
  <si>
    <t>CANCELADA por el cliente 14/07; cierre administrativo</t>
  </si>
  <si>
    <t>Confirmar por escrito la suspensión y enviar el detalle de gastos/anticipos para conciliar (NO radicar)</t>
  </si>
  <si>
    <t>DO TRIC-22234</t>
  </si>
  <si>
    <t>Aduana / DO (destino)</t>
  </si>
  <si>
    <t>Pago de su factura TRIC7800 (por confirmar)</t>
  </si>
  <si>
    <t>DO TRIC-21871</t>
  </si>
  <si>
    <t>Tramitar el CAMBIO DE DISPOSICIÓN y avanzar la nacionalización en puerto; fecha firme a la clienta</t>
  </si>
  <si>
    <t>DO TRIC-22052</t>
  </si>
  <si>
    <t>Liberar el BL a Merco y enviar la factura de flete CORREGIDA (~USD 4.600 a favor del cliente); digitar la DIM</t>
  </si>
  <si>
    <t>DO TRIC-21917</t>
  </si>
  <si>
    <t>Recibo 690 firmado y VB a la factura de bodegajes</t>
  </si>
  <si>
    <t>DO TRIC-21954</t>
  </si>
  <si>
    <t>Dar la orden de emisión del MBL en destino + confirmación Finkargo; iniciar la DIM</t>
  </si>
  <si>
    <t>DO TRIC-21064</t>
  </si>
  <si>
    <t>Confirmar entrega/liberación al consignee (BL directo)</t>
  </si>
  <si>
    <t>DO TRIC-21849</t>
  </si>
  <si>
    <t>Cerrar/aceptar la DIM, pagar tributos y liquidar almacenajes</t>
  </si>
  <si>
    <t>D.O 22214</t>
  </si>
  <si>
    <t>Confirmar zarpe en CMA CGM DIGNITY (29-jul); instrucciones de BL</t>
  </si>
  <si>
    <t>DO TRIC-22240 · BK BGA0534127</t>
  </si>
  <si>
    <t>Seguimiento / DO</t>
  </si>
  <si>
    <t>Confirmar la factura/cobro de esta QT con contabilidad</t>
  </si>
  <si>
    <t>DO 21468</t>
  </si>
  <si>
    <t>Completar el expediente antes del arribo (docs enviados 15/07)</t>
  </si>
  <si>
    <t>OP 30577735 · HBL WXDF26063513</t>
  </si>
  <si>
    <t>Confirmar el amparo de la carga antes del zarpe (viajaría sin póliza)</t>
  </si>
  <si>
    <t>Cert. por confirmar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</si>
</sst>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3864"/>
      <name val="Arial"/>
    </font>
    <font>
      <sz val="9.0"/>
      <color rgb="FF595959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14.0"/>
    <col customWidth="1" min="4" max="5" width="10.0"/>
    <col customWidth="1" min="6" max="6" width="50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5" t="s">
        <v>9</v>
      </c>
      <c r="C5" s="6">
        <f>COUNTIF('Detalle filtrable'!$A:$A,$A5)</f>
        <v>20</v>
      </c>
      <c r="D5" s="6">
        <f>COUNTIFS('Detalle filtrable'!$A:$A,$A5,'Detalle filtrable'!$C:$C,"CRÍTICA")</f>
        <v>6</v>
      </c>
      <c r="E5" s="6">
        <f>COUNTIFS('Detalle filtrable'!$A:$A,$A5,'Detalle filtrable'!$C:$C,"ALTA")</f>
        <v>12</v>
      </c>
      <c r="F5" s="5" t="s">
        <v>10</v>
      </c>
    </row>
    <row r="6">
      <c r="A6" s="4" t="s">
        <v>11</v>
      </c>
      <c r="B6" s="5" t="s">
        <v>12</v>
      </c>
      <c r="C6" s="6">
        <f>COUNTIF('Detalle filtrable'!$A:$A,$A6)</f>
        <v>11</v>
      </c>
      <c r="D6" s="6">
        <f>COUNTIFS('Detalle filtrable'!$A:$A,$A6,'Detalle filtrable'!$C:$C,"CRÍTICA")</f>
        <v>5</v>
      </c>
      <c r="E6" s="6">
        <f>COUNTIFS('Detalle filtrable'!$A:$A,$A6,'Detalle filtrable'!$C:$C,"ALTA")</f>
        <v>4</v>
      </c>
      <c r="F6" s="5" t="s">
        <v>13</v>
      </c>
    </row>
    <row r="7">
      <c r="A7" s="4" t="s">
        <v>14</v>
      </c>
      <c r="B7" s="5" t="s">
        <v>15</v>
      </c>
      <c r="C7" s="6">
        <f>COUNTIF('Detalle filtrable'!$A:$A,$A7)</f>
        <v>5</v>
      </c>
      <c r="D7" s="6">
        <f>COUNTIFS('Detalle filtrable'!$A:$A,$A7,'Detalle filtrable'!$C:$C,"CRÍTICA")</f>
        <v>1</v>
      </c>
      <c r="E7" s="6">
        <f>COUNTIFS('Detalle filtrable'!$A:$A,$A7,'Detalle filtrable'!$C:$C,"ALTA")</f>
        <v>4</v>
      </c>
      <c r="F7" s="5" t="s">
        <v>16</v>
      </c>
    </row>
    <row r="8">
      <c r="A8" s="4" t="s">
        <v>17</v>
      </c>
      <c r="B8" s="5" t="s">
        <v>18</v>
      </c>
      <c r="C8" s="6">
        <f>COUNTIF('Detalle filtrable'!$A:$A,$A8)</f>
        <v>4</v>
      </c>
      <c r="D8" s="6">
        <f>COUNTIFS('Detalle filtrable'!$A:$A,$A8,'Detalle filtrable'!$C:$C,"CRÍTICA")</f>
        <v>0</v>
      </c>
      <c r="E8" s="6">
        <f>COUNTIFS('Detalle filtrable'!$A:$A,$A8,'Detalle filtrable'!$C:$C,"ALTA")</f>
        <v>4</v>
      </c>
      <c r="F8" s="5" t="s">
        <v>19</v>
      </c>
    </row>
    <row r="9">
      <c r="A9" s="4" t="s">
        <v>20</v>
      </c>
      <c r="B9" s="5" t="s">
        <v>21</v>
      </c>
      <c r="C9" s="6">
        <f>COUNTIF('Detalle filtrable'!$A:$A,$A9)</f>
        <v>3</v>
      </c>
      <c r="D9" s="6">
        <f>COUNTIFS('Detalle filtrable'!$A:$A,$A9,'Detalle filtrable'!$C:$C,"CRÍTICA")</f>
        <v>2</v>
      </c>
      <c r="E9" s="6">
        <f>COUNTIFS('Detalle filtrable'!$A:$A,$A9,'Detalle filtrable'!$C:$C,"ALTA")</f>
        <v>0</v>
      </c>
      <c r="F9" s="5" t="s">
        <v>22</v>
      </c>
    </row>
    <row r="10">
      <c r="A10" s="4" t="s">
        <v>23</v>
      </c>
      <c r="B10" s="5" t="s">
        <v>24</v>
      </c>
      <c r="C10" s="6">
        <f>COUNTIF('Detalle filtrable'!$A:$A,$A10)</f>
        <v>2</v>
      </c>
      <c r="D10" s="6">
        <f>COUNTIFS('Detalle filtrable'!$A:$A,$A10,'Detalle filtrable'!$C:$C,"CRÍTICA")</f>
        <v>1</v>
      </c>
      <c r="E10" s="6">
        <f>COUNTIFS('Detalle filtrable'!$A:$A,$A10,'Detalle filtrable'!$C:$C,"ALTA")</f>
        <v>0</v>
      </c>
      <c r="F10" s="5" t="s">
        <v>25</v>
      </c>
    </row>
    <row r="11">
      <c r="A11" s="4" t="s">
        <v>26</v>
      </c>
      <c r="B11" s="5" t="s">
        <v>27</v>
      </c>
      <c r="C11" s="6">
        <f>COUNTIF('Detalle filtrable'!$A:$A,$A11)</f>
        <v>2</v>
      </c>
      <c r="D11" s="6">
        <f>COUNTIFS('Detalle filtrable'!$A:$A,$A11,'Detalle filtrable'!$C:$C,"CRÍTICA")</f>
        <v>0</v>
      </c>
      <c r="E11" s="6">
        <f>COUNTIFS('Detalle filtrable'!$A:$A,$A11,'Detalle filtrable'!$C:$C,"ALTA")</f>
        <v>1</v>
      </c>
      <c r="F11" s="5" t="s">
        <v>28</v>
      </c>
    </row>
    <row r="12">
      <c r="A12" s="4" t="s">
        <v>29</v>
      </c>
      <c r="B12" s="5" t="s">
        <v>24</v>
      </c>
      <c r="C12" s="6">
        <f>COUNTIF('Detalle filtrable'!$A:$A,$A12)</f>
        <v>2</v>
      </c>
      <c r="D12" s="6">
        <f>COUNTIFS('Detalle filtrable'!$A:$A,$A12,'Detalle filtrable'!$C:$C,"CRÍTICA")</f>
        <v>0</v>
      </c>
      <c r="E12" s="6">
        <f>COUNTIFS('Detalle filtrable'!$A:$A,$A12,'Detalle filtrable'!$C:$C,"ALTA")</f>
        <v>1</v>
      </c>
      <c r="F12" s="5" t="s">
        <v>30</v>
      </c>
    </row>
    <row r="13">
      <c r="A13" s="4" t="s">
        <v>31</v>
      </c>
      <c r="B13" s="5" t="s">
        <v>32</v>
      </c>
      <c r="C13" s="6">
        <f>COUNTIF('Detalle filtrable'!$A:$A,$A13)</f>
        <v>2</v>
      </c>
      <c r="D13" s="6">
        <f>COUNTIFS('Detalle filtrable'!$A:$A,$A13,'Detalle filtrable'!$C:$C,"CRÍTICA")</f>
        <v>2</v>
      </c>
      <c r="E13" s="6">
        <f>COUNTIFS('Detalle filtrable'!$A:$A,$A13,'Detalle filtrable'!$C:$C,"ALTA")</f>
        <v>0</v>
      </c>
      <c r="F13" s="5" t="s">
        <v>33</v>
      </c>
    </row>
    <row r="14">
      <c r="A14" s="4" t="s">
        <v>34</v>
      </c>
      <c r="B14" s="5" t="s">
        <v>35</v>
      </c>
      <c r="C14" s="6">
        <f>COUNTIF('Detalle filtrable'!$A:$A,$A14)</f>
        <v>2</v>
      </c>
      <c r="D14" s="6">
        <f>COUNTIFS('Detalle filtrable'!$A:$A,$A14,'Detalle filtrable'!$C:$C,"CRÍTICA")</f>
        <v>0</v>
      </c>
      <c r="E14" s="6">
        <f>COUNTIFS('Detalle filtrable'!$A:$A,$A14,'Detalle filtrable'!$C:$C,"ALTA")</f>
        <v>2</v>
      </c>
      <c r="F14" s="5" t="s">
        <v>36</v>
      </c>
    </row>
    <row r="15">
      <c r="A15" s="4" t="s">
        <v>37</v>
      </c>
      <c r="B15" s="5" t="s">
        <v>38</v>
      </c>
      <c r="C15" s="6">
        <f>COUNTIF('Detalle filtrable'!$A:$A,$A15)</f>
        <v>2</v>
      </c>
      <c r="D15" s="6">
        <f>COUNTIFS('Detalle filtrable'!$A:$A,$A15,'Detalle filtrable'!$C:$C,"CRÍTICA")</f>
        <v>1</v>
      </c>
      <c r="E15" s="6">
        <f>COUNTIFS('Detalle filtrable'!$A:$A,$A15,'Detalle filtrable'!$C:$C,"ALTA")</f>
        <v>1</v>
      </c>
      <c r="F15" s="5" t="s">
        <v>39</v>
      </c>
    </row>
    <row r="16">
      <c r="A16" s="4" t="s">
        <v>40</v>
      </c>
      <c r="B16" s="5" t="s">
        <v>41</v>
      </c>
      <c r="C16" s="6">
        <f>COUNTIF('Detalle filtrable'!$A:$A,$A16)</f>
        <v>2</v>
      </c>
      <c r="D16" s="6">
        <f>COUNTIFS('Detalle filtrable'!$A:$A,$A16,'Detalle filtrable'!$C:$C,"CRÍTICA")</f>
        <v>0</v>
      </c>
      <c r="E16" s="6">
        <f>COUNTIFS('Detalle filtrable'!$A:$A,$A16,'Detalle filtrable'!$C:$C,"ALTA")</f>
        <v>2</v>
      </c>
      <c r="F16" s="5" t="s">
        <v>42</v>
      </c>
    </row>
    <row r="17">
      <c r="A17" s="4" t="s">
        <v>43</v>
      </c>
      <c r="B17" s="5" t="s">
        <v>32</v>
      </c>
      <c r="C17" s="6">
        <f>COUNTIF('Detalle filtrable'!$A:$A,$A17)</f>
        <v>1</v>
      </c>
      <c r="D17" s="6">
        <f>COUNTIFS('Detalle filtrable'!$A:$A,$A17,'Detalle filtrable'!$C:$C,"CRÍTICA")</f>
        <v>0</v>
      </c>
      <c r="E17" s="6">
        <f>COUNTIFS('Detalle filtrable'!$A:$A,$A17,'Detalle filtrable'!$C:$C,"ALTA")</f>
        <v>1</v>
      </c>
      <c r="F17" s="5" t="s">
        <v>44</v>
      </c>
    </row>
    <row r="18">
      <c r="A18" s="4" t="s">
        <v>45</v>
      </c>
      <c r="B18" s="5" t="s">
        <v>46</v>
      </c>
      <c r="C18" s="6">
        <f>COUNTIF('Detalle filtrable'!$A:$A,$A18)</f>
        <v>1</v>
      </c>
      <c r="D18" s="6">
        <f>COUNTIFS('Detalle filtrable'!$A:$A,$A18,'Detalle filtrable'!$C:$C,"CRÍTICA")</f>
        <v>0</v>
      </c>
      <c r="E18" s="6">
        <f>COUNTIFS('Detalle filtrable'!$A:$A,$A18,'Detalle filtrable'!$C:$C,"ALTA")</f>
        <v>0</v>
      </c>
      <c r="F18" s="5" t="s">
        <v>47</v>
      </c>
    </row>
    <row r="19">
      <c r="A19" s="4" t="s">
        <v>48</v>
      </c>
      <c r="B19" s="5" t="s">
        <v>49</v>
      </c>
      <c r="C19" s="6">
        <f>COUNTIF('Detalle filtrable'!$A:$A,$A19)</f>
        <v>1</v>
      </c>
      <c r="D19" s="6">
        <f>COUNTIFS('Detalle filtrable'!$A:$A,$A19,'Detalle filtrable'!$C:$C,"CRÍTICA")</f>
        <v>0</v>
      </c>
      <c r="E19" s="6">
        <f>COUNTIFS('Detalle filtrable'!$A:$A,$A19,'Detalle filtrable'!$C:$C,"ALTA")</f>
        <v>1</v>
      </c>
      <c r="F19" s="5" t="s">
        <v>50</v>
      </c>
    </row>
    <row r="20">
      <c r="A20" s="4" t="s">
        <v>51</v>
      </c>
      <c r="B20" s="5" t="s">
        <v>18</v>
      </c>
      <c r="C20" s="6">
        <f>COUNTIF('Detalle filtrable'!$A:$A,$A20)</f>
        <v>1</v>
      </c>
      <c r="D20" s="6">
        <f>COUNTIFS('Detalle filtrable'!$A:$A,$A20,'Detalle filtrable'!$C:$C,"CRÍTICA")</f>
        <v>0</v>
      </c>
      <c r="E20" s="6">
        <f>COUNTIFS('Detalle filtrable'!$A:$A,$A20,'Detalle filtrable'!$C:$C,"ALTA")</f>
        <v>0</v>
      </c>
      <c r="F20" s="5" t="s">
        <v>52</v>
      </c>
    </row>
    <row r="21" ht="15.75" customHeight="1">
      <c r="A21" s="4" t="s">
        <v>53</v>
      </c>
      <c r="B21" s="5" t="s">
        <v>54</v>
      </c>
      <c r="C21" s="6">
        <f>COUNTIF('Detalle filtrable'!$A:$A,$A21)</f>
        <v>1</v>
      </c>
      <c r="D21" s="6">
        <f>COUNTIFS('Detalle filtrable'!$A:$A,$A21,'Detalle filtrable'!$C:$C,"CRÍTICA")</f>
        <v>0</v>
      </c>
      <c r="E21" s="6">
        <f>COUNTIFS('Detalle filtrable'!$A:$A,$A21,'Detalle filtrable'!$C:$C,"ALTA")</f>
        <v>1</v>
      </c>
      <c r="F21" s="5" t="s">
        <v>55</v>
      </c>
    </row>
    <row r="22" ht="15.75" customHeight="1">
      <c r="A22" s="4" t="s">
        <v>56</v>
      </c>
      <c r="B22" s="5" t="s">
        <v>57</v>
      </c>
      <c r="C22" s="6">
        <f>COUNTIF('Detalle filtrable'!$A:$A,$A22)</f>
        <v>1</v>
      </c>
      <c r="D22" s="6">
        <f>COUNTIFS('Detalle filtrable'!$A:$A,$A22,'Detalle filtrable'!$C:$C,"CRÍTICA")</f>
        <v>1</v>
      </c>
      <c r="E22" s="6">
        <f>COUNTIFS('Detalle filtrable'!$A:$A,$A22,'Detalle filtrable'!$C:$C,"ALTA")</f>
        <v>0</v>
      </c>
      <c r="F22" s="5" t="s">
        <v>58</v>
      </c>
    </row>
    <row r="23" ht="15.75" customHeight="1">
      <c r="A23" s="4" t="s">
        <v>59</v>
      </c>
      <c r="B23" s="5" t="s">
        <v>27</v>
      </c>
      <c r="C23" s="6">
        <f>COUNTIF('Detalle filtrable'!$A:$A,$A23)</f>
        <v>1</v>
      </c>
      <c r="D23" s="6">
        <f>COUNTIFS('Detalle filtrable'!$A:$A,$A23,'Detalle filtrable'!$C:$C,"CRÍTICA")</f>
        <v>0</v>
      </c>
      <c r="E23" s="6">
        <f>COUNTIFS('Detalle filtrable'!$A:$A,$A23,'Detalle filtrable'!$C:$C,"ALTA")</f>
        <v>1</v>
      </c>
      <c r="F23" s="5" t="s">
        <v>60</v>
      </c>
    </row>
    <row r="24" ht="15.75" customHeight="1">
      <c r="A24" s="4" t="s">
        <v>61</v>
      </c>
      <c r="B24" s="5" t="s">
        <v>62</v>
      </c>
      <c r="C24" s="6">
        <f>COUNTIF('Detalle filtrable'!$A:$A,$A24)</f>
        <v>1</v>
      </c>
      <c r="D24" s="6">
        <f>COUNTIFS('Detalle filtrable'!$A:$A,$A24,'Detalle filtrable'!$C:$C,"CRÍTICA")</f>
        <v>0</v>
      </c>
      <c r="E24" s="6">
        <f>COUNTIFS('Detalle filtrable'!$A:$A,$A24,'Detalle filtrable'!$C:$C,"ALTA")</f>
        <v>1</v>
      </c>
      <c r="F24" s="5" t="s">
        <v>63</v>
      </c>
    </row>
    <row r="25" ht="15.75" customHeight="1">
      <c r="A25" s="4" t="s">
        <v>64</v>
      </c>
      <c r="B25" s="5" t="s">
        <v>65</v>
      </c>
      <c r="C25" s="6">
        <f>COUNTIF('Detalle filtrable'!$A:$A,$A25)</f>
        <v>1</v>
      </c>
      <c r="D25" s="6">
        <f>COUNTIFS('Detalle filtrable'!$A:$A,$A25,'Detalle filtrable'!$C:$C,"CRÍTICA")</f>
        <v>1</v>
      </c>
      <c r="E25" s="6">
        <f>COUNTIFS('Detalle filtrable'!$A:$A,$A25,'Detalle filtrable'!$C:$C,"ALTA")</f>
        <v>0</v>
      </c>
      <c r="F25" s="5" t="s">
        <v>66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5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2.0"/>
    <col customWidth="1" min="3" max="3" width="11.0"/>
    <col customWidth="1" min="4" max="4" width="18.0"/>
    <col customWidth="1" min="5" max="5" width="24.0"/>
    <col customWidth="1" min="6" max="6" width="30.0"/>
    <col customWidth="1" min="7" max="7" width="34.0"/>
    <col customWidth="1" min="8" max="8" width="52.0"/>
    <col customWidth="1" min="9" max="9" width="26.0"/>
    <col customWidth="1" min="10" max="10" width="10.0"/>
    <col customWidth="1" min="11" max="26" width="8.71"/>
  </cols>
  <sheetData>
    <row r="1">
      <c r="A1" s="1" t="s">
        <v>67</v>
      </c>
    </row>
    <row r="2">
      <c r="A2" s="2" t="s">
        <v>68</v>
      </c>
    </row>
    <row r="4">
      <c r="A4" s="3" t="s">
        <v>2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</row>
    <row r="5">
      <c r="A5" s="7" t="s">
        <v>43</v>
      </c>
      <c r="B5" s="5" t="s">
        <v>32</v>
      </c>
      <c r="C5" s="8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</row>
    <row r="6">
      <c r="A6" s="7" t="s">
        <v>45</v>
      </c>
      <c r="B6" s="5" t="s">
        <v>46</v>
      </c>
      <c r="C6" s="9" t="s">
        <v>86</v>
      </c>
      <c r="D6" s="5" t="s">
        <v>87</v>
      </c>
      <c r="E6" s="5" t="s">
        <v>88</v>
      </c>
      <c r="F6" s="5" t="s">
        <v>89</v>
      </c>
      <c r="G6" s="5" t="s">
        <v>90</v>
      </c>
      <c r="H6" s="5" t="s">
        <v>91</v>
      </c>
      <c r="I6" s="5" t="s">
        <v>84</v>
      </c>
      <c r="J6" s="5" t="s">
        <v>92</v>
      </c>
    </row>
    <row r="7">
      <c r="A7" s="7" t="s">
        <v>17</v>
      </c>
      <c r="B7" s="5" t="s">
        <v>18</v>
      </c>
      <c r="C7" s="8" t="s">
        <v>78</v>
      </c>
      <c r="D7" s="5" t="s">
        <v>93</v>
      </c>
      <c r="E7" s="5" t="s">
        <v>94</v>
      </c>
      <c r="F7" s="5" t="s">
        <v>95</v>
      </c>
      <c r="G7" s="5" t="s">
        <v>96</v>
      </c>
      <c r="H7" s="5" t="s">
        <v>97</v>
      </c>
      <c r="I7" s="5" t="s">
        <v>98</v>
      </c>
      <c r="J7" s="5" t="s">
        <v>99</v>
      </c>
    </row>
    <row r="8">
      <c r="A8" s="7" t="s">
        <v>17</v>
      </c>
      <c r="B8" s="5" t="s">
        <v>18</v>
      </c>
      <c r="C8" s="8" t="s">
        <v>78</v>
      </c>
      <c r="D8" s="5" t="s">
        <v>100</v>
      </c>
      <c r="E8" s="5" t="s">
        <v>101</v>
      </c>
      <c r="F8" s="5" t="s">
        <v>102</v>
      </c>
      <c r="G8" s="5" t="s">
        <v>103</v>
      </c>
      <c r="H8" s="5" t="s">
        <v>104</v>
      </c>
      <c r="I8" s="5" t="s">
        <v>105</v>
      </c>
      <c r="J8" s="5" t="s">
        <v>99</v>
      </c>
    </row>
    <row r="9">
      <c r="A9" s="7" t="s">
        <v>17</v>
      </c>
      <c r="B9" s="5" t="s">
        <v>18</v>
      </c>
      <c r="C9" s="8" t="s">
        <v>78</v>
      </c>
      <c r="D9" s="5" t="s">
        <v>106</v>
      </c>
      <c r="E9" s="5" t="s">
        <v>107</v>
      </c>
      <c r="F9" s="5" t="s">
        <v>108</v>
      </c>
      <c r="G9" s="5" t="s">
        <v>109</v>
      </c>
      <c r="H9" s="5" t="s">
        <v>110</v>
      </c>
      <c r="I9" s="5" t="s">
        <v>111</v>
      </c>
      <c r="J9" s="5" t="s">
        <v>112</v>
      </c>
    </row>
    <row r="10">
      <c r="A10" s="7" t="s">
        <v>17</v>
      </c>
      <c r="B10" s="5" t="s">
        <v>113</v>
      </c>
      <c r="C10" s="8" t="s">
        <v>78</v>
      </c>
      <c r="D10" s="5" t="s">
        <v>114</v>
      </c>
      <c r="E10" s="5" t="s">
        <v>115</v>
      </c>
      <c r="F10" s="5" t="s">
        <v>116</v>
      </c>
      <c r="G10" s="5" t="s">
        <v>117</v>
      </c>
      <c r="H10" s="5" t="s">
        <v>118</v>
      </c>
      <c r="I10" s="5" t="s">
        <v>119</v>
      </c>
      <c r="J10" s="5" t="s">
        <v>120</v>
      </c>
    </row>
    <row r="11">
      <c r="A11" s="7" t="s">
        <v>48</v>
      </c>
      <c r="B11" s="5" t="s">
        <v>49</v>
      </c>
      <c r="C11" s="8" t="s">
        <v>78</v>
      </c>
      <c r="D11" s="5" t="s">
        <v>121</v>
      </c>
      <c r="E11" s="5" t="s">
        <v>122</v>
      </c>
      <c r="F11" s="5" t="s">
        <v>123</v>
      </c>
      <c r="G11" s="5" t="s">
        <v>124</v>
      </c>
      <c r="H11" s="5" t="s">
        <v>125</v>
      </c>
      <c r="I11" s="5" t="s">
        <v>126</v>
      </c>
      <c r="J11" s="5" t="s">
        <v>112</v>
      </c>
    </row>
    <row r="12">
      <c r="A12" s="7" t="s">
        <v>23</v>
      </c>
      <c r="B12" s="5" t="s">
        <v>24</v>
      </c>
      <c r="C12" s="10" t="s">
        <v>127</v>
      </c>
      <c r="D12" s="5" t="s">
        <v>128</v>
      </c>
      <c r="E12" s="5" t="s">
        <v>129</v>
      </c>
      <c r="F12" s="5" t="s">
        <v>130</v>
      </c>
      <c r="G12" s="5" t="s">
        <v>131</v>
      </c>
      <c r="H12" s="5" t="s">
        <v>132</v>
      </c>
      <c r="I12" s="5" t="s">
        <v>133</v>
      </c>
      <c r="J12" s="5" t="s">
        <v>120</v>
      </c>
    </row>
    <row r="13">
      <c r="A13" s="7" t="s">
        <v>23</v>
      </c>
      <c r="B13" s="5" t="s">
        <v>24</v>
      </c>
      <c r="C13" s="9" t="s">
        <v>86</v>
      </c>
      <c r="D13" s="5" t="s">
        <v>134</v>
      </c>
      <c r="E13" s="5" t="s">
        <v>135</v>
      </c>
      <c r="F13" s="5" t="s">
        <v>130</v>
      </c>
      <c r="G13" s="5" t="s">
        <v>136</v>
      </c>
      <c r="H13" s="5" t="s">
        <v>137</v>
      </c>
      <c r="I13" s="5" t="s">
        <v>138</v>
      </c>
      <c r="J13" s="5" t="s">
        <v>139</v>
      </c>
    </row>
    <row r="14">
      <c r="A14" s="7" t="s">
        <v>11</v>
      </c>
      <c r="B14" s="5" t="s">
        <v>12</v>
      </c>
      <c r="C14" s="10" t="s">
        <v>127</v>
      </c>
      <c r="D14" s="5" t="s">
        <v>140</v>
      </c>
      <c r="E14" s="5" t="s">
        <v>141</v>
      </c>
      <c r="F14" s="5" t="s">
        <v>142</v>
      </c>
      <c r="G14" s="5" t="s">
        <v>143</v>
      </c>
      <c r="H14" s="5" t="s">
        <v>144</v>
      </c>
      <c r="I14" s="5" t="s">
        <v>145</v>
      </c>
      <c r="J14" s="5" t="s">
        <v>120</v>
      </c>
    </row>
    <row r="15">
      <c r="A15" s="7" t="s">
        <v>11</v>
      </c>
      <c r="B15" s="5" t="s">
        <v>146</v>
      </c>
      <c r="C15" s="10" t="s">
        <v>127</v>
      </c>
      <c r="D15" s="5" t="s">
        <v>147</v>
      </c>
      <c r="E15" s="5" t="s">
        <v>148</v>
      </c>
      <c r="F15" s="5" t="s">
        <v>149</v>
      </c>
      <c r="G15" s="5" t="s">
        <v>150</v>
      </c>
      <c r="H15" s="5" t="s">
        <v>151</v>
      </c>
      <c r="I15" s="5" t="s">
        <v>152</v>
      </c>
      <c r="J15" s="5" t="s">
        <v>99</v>
      </c>
    </row>
    <row r="16">
      <c r="A16" s="7" t="s">
        <v>11</v>
      </c>
      <c r="B16" s="5" t="s">
        <v>153</v>
      </c>
      <c r="C16" s="10" t="s">
        <v>127</v>
      </c>
      <c r="D16" s="5" t="s">
        <v>154</v>
      </c>
      <c r="E16" s="5" t="s">
        <v>155</v>
      </c>
      <c r="F16" s="5" t="s">
        <v>156</v>
      </c>
      <c r="G16" s="5" t="s">
        <v>157</v>
      </c>
      <c r="H16" s="5" t="s">
        <v>158</v>
      </c>
      <c r="I16" s="5" t="s">
        <v>159</v>
      </c>
      <c r="J16" s="5" t="s">
        <v>99</v>
      </c>
    </row>
    <row r="17">
      <c r="A17" s="7" t="s">
        <v>11</v>
      </c>
      <c r="B17" s="5" t="s">
        <v>160</v>
      </c>
      <c r="C17" s="10" t="s">
        <v>127</v>
      </c>
      <c r="D17" s="5" t="s">
        <v>161</v>
      </c>
      <c r="E17" s="5" t="s">
        <v>162</v>
      </c>
      <c r="F17" s="5" t="s">
        <v>163</v>
      </c>
      <c r="G17" s="5" t="s">
        <v>164</v>
      </c>
      <c r="H17" s="5" t="s">
        <v>165</v>
      </c>
      <c r="I17" s="5" t="s">
        <v>166</v>
      </c>
      <c r="J17" s="5" t="s">
        <v>99</v>
      </c>
    </row>
    <row r="18">
      <c r="A18" s="7" t="s">
        <v>11</v>
      </c>
      <c r="B18" s="5" t="s">
        <v>167</v>
      </c>
      <c r="C18" s="10" t="s">
        <v>127</v>
      </c>
      <c r="D18" s="5" t="s">
        <v>128</v>
      </c>
      <c r="E18" s="5" t="s">
        <v>129</v>
      </c>
      <c r="F18" s="5" t="s">
        <v>130</v>
      </c>
      <c r="G18" s="5" t="s">
        <v>131</v>
      </c>
      <c r="H18" s="5" t="s">
        <v>168</v>
      </c>
      <c r="I18" s="5" t="s">
        <v>169</v>
      </c>
      <c r="J18" s="5" t="s">
        <v>120</v>
      </c>
    </row>
    <row r="19">
      <c r="A19" s="7" t="s">
        <v>11</v>
      </c>
      <c r="B19" s="5" t="s">
        <v>170</v>
      </c>
      <c r="C19" s="8" t="s">
        <v>78</v>
      </c>
      <c r="D19" s="5" t="s">
        <v>79</v>
      </c>
      <c r="E19" s="5" t="s">
        <v>80</v>
      </c>
      <c r="F19" s="5" t="s">
        <v>81</v>
      </c>
      <c r="G19" s="5" t="s">
        <v>82</v>
      </c>
      <c r="H19" s="5" t="s">
        <v>171</v>
      </c>
      <c r="I19" s="5" t="s">
        <v>172</v>
      </c>
      <c r="J19" s="5" t="s">
        <v>85</v>
      </c>
    </row>
    <row r="20">
      <c r="A20" s="7" t="s">
        <v>11</v>
      </c>
      <c r="B20" s="5" t="s">
        <v>160</v>
      </c>
      <c r="C20" s="8" t="s">
        <v>78</v>
      </c>
      <c r="D20" s="5" t="s">
        <v>173</v>
      </c>
      <c r="E20" s="5" t="s">
        <v>174</v>
      </c>
      <c r="F20" s="5" t="s">
        <v>175</v>
      </c>
      <c r="G20" s="5" t="s">
        <v>176</v>
      </c>
      <c r="H20" s="5" t="s">
        <v>177</v>
      </c>
      <c r="I20" s="5" t="s">
        <v>178</v>
      </c>
      <c r="J20" s="5" t="s">
        <v>99</v>
      </c>
    </row>
    <row r="21" ht="15.75" customHeight="1">
      <c r="A21" s="7" t="s">
        <v>11</v>
      </c>
      <c r="B21" s="5" t="s">
        <v>179</v>
      </c>
      <c r="C21" s="8" t="s">
        <v>78</v>
      </c>
      <c r="D21" s="5" t="s">
        <v>93</v>
      </c>
      <c r="E21" s="5" t="s">
        <v>94</v>
      </c>
      <c r="F21" s="5" t="s">
        <v>95</v>
      </c>
      <c r="G21" s="5" t="s">
        <v>96</v>
      </c>
      <c r="H21" s="5" t="s">
        <v>180</v>
      </c>
      <c r="I21" s="5" t="s">
        <v>181</v>
      </c>
      <c r="J21" s="5" t="s">
        <v>99</v>
      </c>
    </row>
    <row r="22" ht="15.75" customHeight="1">
      <c r="A22" s="7" t="s">
        <v>11</v>
      </c>
      <c r="B22" s="5" t="s">
        <v>182</v>
      </c>
      <c r="C22" s="8" t="s">
        <v>78</v>
      </c>
      <c r="D22" s="5" t="s">
        <v>114</v>
      </c>
      <c r="E22" s="5" t="s">
        <v>115</v>
      </c>
      <c r="F22" s="5" t="s">
        <v>116</v>
      </c>
      <c r="G22" s="5" t="s">
        <v>117</v>
      </c>
      <c r="H22" s="5" t="s">
        <v>183</v>
      </c>
      <c r="I22" s="5" t="s">
        <v>184</v>
      </c>
      <c r="J22" s="5" t="s">
        <v>120</v>
      </c>
    </row>
    <row r="23" ht="15.75" customHeight="1">
      <c r="A23" s="7" t="s">
        <v>11</v>
      </c>
      <c r="B23" s="5" t="s">
        <v>185</v>
      </c>
      <c r="C23" s="9" t="s">
        <v>86</v>
      </c>
      <c r="D23" s="5" t="s">
        <v>186</v>
      </c>
      <c r="E23" s="5" t="s">
        <v>187</v>
      </c>
      <c r="F23" s="5" t="s">
        <v>188</v>
      </c>
      <c r="G23" s="5" t="s">
        <v>189</v>
      </c>
      <c r="H23" s="5" t="s">
        <v>190</v>
      </c>
      <c r="I23" s="5" t="s">
        <v>191</v>
      </c>
      <c r="J23" s="5" t="s">
        <v>192</v>
      </c>
    </row>
    <row r="24" ht="15.75" customHeight="1">
      <c r="A24" s="7" t="s">
        <v>11</v>
      </c>
      <c r="B24" s="5" t="s">
        <v>193</v>
      </c>
      <c r="C24" s="9" t="s">
        <v>86</v>
      </c>
      <c r="D24" s="5" t="s">
        <v>194</v>
      </c>
      <c r="E24" s="5" t="s">
        <v>195</v>
      </c>
      <c r="F24" s="5" t="s">
        <v>196</v>
      </c>
      <c r="G24" s="5" t="s">
        <v>197</v>
      </c>
      <c r="H24" s="5" t="s">
        <v>198</v>
      </c>
      <c r="I24" s="5" t="s">
        <v>199</v>
      </c>
      <c r="J24" s="5" t="s">
        <v>200</v>
      </c>
    </row>
    <row r="25" ht="15.75" customHeight="1">
      <c r="A25" s="7" t="s">
        <v>26</v>
      </c>
      <c r="B25" s="5" t="s">
        <v>27</v>
      </c>
      <c r="C25" s="8" t="s">
        <v>78</v>
      </c>
      <c r="D25" s="5" t="s">
        <v>201</v>
      </c>
      <c r="E25" s="5" t="s">
        <v>202</v>
      </c>
      <c r="F25" s="5" t="s">
        <v>203</v>
      </c>
      <c r="G25" s="5" t="s">
        <v>204</v>
      </c>
      <c r="H25" s="5" t="s">
        <v>205</v>
      </c>
      <c r="I25" s="5" t="s">
        <v>206</v>
      </c>
      <c r="J25" s="5" t="s">
        <v>120</v>
      </c>
    </row>
    <row r="26" ht="15.75" customHeight="1">
      <c r="A26" s="7" t="s">
        <v>26</v>
      </c>
      <c r="B26" s="5" t="s">
        <v>27</v>
      </c>
      <c r="C26" s="9" t="s">
        <v>86</v>
      </c>
      <c r="D26" s="5" t="s">
        <v>186</v>
      </c>
      <c r="E26" s="5" t="s">
        <v>187</v>
      </c>
      <c r="F26" s="5" t="s">
        <v>188</v>
      </c>
      <c r="G26" s="5" t="s">
        <v>189</v>
      </c>
      <c r="H26" s="5" t="s">
        <v>207</v>
      </c>
      <c r="I26" s="5" t="s">
        <v>84</v>
      </c>
      <c r="J26" s="5" t="s">
        <v>192</v>
      </c>
    </row>
    <row r="27" ht="15.75" customHeight="1">
      <c r="A27" s="7" t="s">
        <v>51</v>
      </c>
      <c r="B27" s="5" t="s">
        <v>18</v>
      </c>
      <c r="C27" s="9" t="s">
        <v>86</v>
      </c>
      <c r="D27" s="5" t="s">
        <v>186</v>
      </c>
      <c r="E27" s="5" t="s">
        <v>187</v>
      </c>
      <c r="F27" s="5" t="s">
        <v>188</v>
      </c>
      <c r="G27" s="5" t="s">
        <v>189</v>
      </c>
      <c r="H27" s="5" t="s">
        <v>208</v>
      </c>
      <c r="I27" s="5" t="s">
        <v>84</v>
      </c>
      <c r="J27" s="5" t="s">
        <v>192</v>
      </c>
    </row>
    <row r="28" ht="15.75" customHeight="1">
      <c r="A28" s="7" t="s">
        <v>53</v>
      </c>
      <c r="B28" s="5" t="s">
        <v>54</v>
      </c>
      <c r="C28" s="8" t="s">
        <v>78</v>
      </c>
      <c r="D28" s="5" t="s">
        <v>106</v>
      </c>
      <c r="E28" s="5" t="s">
        <v>107</v>
      </c>
      <c r="F28" s="5" t="s">
        <v>108</v>
      </c>
      <c r="G28" s="5" t="s">
        <v>109</v>
      </c>
      <c r="H28" s="5" t="s">
        <v>209</v>
      </c>
      <c r="I28" s="5" t="s">
        <v>84</v>
      </c>
      <c r="J28" s="5" t="s">
        <v>112</v>
      </c>
    </row>
    <row r="29" ht="15.75" customHeight="1">
      <c r="A29" s="7" t="s">
        <v>29</v>
      </c>
      <c r="B29" s="5" t="s">
        <v>24</v>
      </c>
      <c r="C29" s="8" t="s">
        <v>78</v>
      </c>
      <c r="D29" s="5" t="s">
        <v>114</v>
      </c>
      <c r="E29" s="5" t="s">
        <v>115</v>
      </c>
      <c r="F29" s="5" t="s">
        <v>116</v>
      </c>
      <c r="G29" s="5" t="s">
        <v>117</v>
      </c>
      <c r="H29" s="5" t="s">
        <v>210</v>
      </c>
      <c r="I29" s="5" t="s">
        <v>211</v>
      </c>
      <c r="J29" s="5" t="s">
        <v>120</v>
      </c>
    </row>
    <row r="30" ht="15.75" customHeight="1">
      <c r="A30" s="7" t="s">
        <v>29</v>
      </c>
      <c r="B30" s="5" t="s">
        <v>24</v>
      </c>
      <c r="C30" s="9" t="s">
        <v>86</v>
      </c>
      <c r="D30" s="5" t="s">
        <v>212</v>
      </c>
      <c r="E30" s="5" t="s">
        <v>213</v>
      </c>
      <c r="F30" s="5" t="s">
        <v>214</v>
      </c>
      <c r="G30" s="5" t="s">
        <v>215</v>
      </c>
      <c r="H30" s="5" t="s">
        <v>216</v>
      </c>
      <c r="I30" s="5" t="s">
        <v>217</v>
      </c>
      <c r="J30" s="5" t="s">
        <v>92</v>
      </c>
    </row>
    <row r="31" ht="15.75" customHeight="1">
      <c r="A31" s="7" t="s">
        <v>31</v>
      </c>
      <c r="B31" s="5" t="s">
        <v>32</v>
      </c>
      <c r="C31" s="10" t="s">
        <v>127</v>
      </c>
      <c r="D31" s="5" t="s">
        <v>147</v>
      </c>
      <c r="E31" s="5" t="s">
        <v>148</v>
      </c>
      <c r="F31" s="5" t="s">
        <v>149</v>
      </c>
      <c r="G31" s="5" t="s">
        <v>150</v>
      </c>
      <c r="H31" s="5" t="s">
        <v>218</v>
      </c>
      <c r="I31" s="5" t="s">
        <v>219</v>
      </c>
      <c r="J31" s="5" t="s">
        <v>99</v>
      </c>
    </row>
    <row r="32" ht="15.75" customHeight="1">
      <c r="A32" s="7" t="s">
        <v>31</v>
      </c>
      <c r="B32" s="5" t="s">
        <v>32</v>
      </c>
      <c r="C32" s="10" t="s">
        <v>127</v>
      </c>
      <c r="D32" s="5" t="s">
        <v>161</v>
      </c>
      <c r="E32" s="5" t="s">
        <v>162</v>
      </c>
      <c r="F32" s="5" t="s">
        <v>163</v>
      </c>
      <c r="G32" s="5" t="s">
        <v>164</v>
      </c>
      <c r="H32" s="5" t="s">
        <v>220</v>
      </c>
      <c r="I32" s="5" t="s">
        <v>221</v>
      </c>
      <c r="J32" s="5" t="s">
        <v>99</v>
      </c>
    </row>
    <row r="33" ht="15.75" customHeight="1">
      <c r="A33" s="7" t="s">
        <v>20</v>
      </c>
      <c r="B33" s="5" t="s">
        <v>21</v>
      </c>
      <c r="C33" s="10" t="s">
        <v>127</v>
      </c>
      <c r="D33" s="5" t="s">
        <v>140</v>
      </c>
      <c r="E33" s="5" t="s">
        <v>141</v>
      </c>
      <c r="F33" s="5" t="s">
        <v>142</v>
      </c>
      <c r="G33" s="5" t="s">
        <v>143</v>
      </c>
      <c r="H33" s="5" t="s">
        <v>222</v>
      </c>
      <c r="I33" s="5" t="s">
        <v>84</v>
      </c>
      <c r="J33" s="5" t="s">
        <v>120</v>
      </c>
    </row>
    <row r="34" ht="15.75" customHeight="1">
      <c r="A34" s="7" t="s">
        <v>20</v>
      </c>
      <c r="B34" s="5" t="s">
        <v>21</v>
      </c>
      <c r="C34" s="10" t="s">
        <v>127</v>
      </c>
      <c r="D34" s="5" t="s">
        <v>223</v>
      </c>
      <c r="E34" s="5" t="s">
        <v>224</v>
      </c>
      <c r="F34" s="5" t="s">
        <v>225</v>
      </c>
      <c r="G34" s="5" t="s">
        <v>226</v>
      </c>
      <c r="H34" s="5" t="s">
        <v>227</v>
      </c>
      <c r="I34" s="5" t="s">
        <v>84</v>
      </c>
      <c r="J34" s="5" t="s">
        <v>120</v>
      </c>
    </row>
    <row r="35" ht="15.75" customHeight="1">
      <c r="A35" s="7" t="s">
        <v>20</v>
      </c>
      <c r="B35" s="5" t="s">
        <v>228</v>
      </c>
      <c r="C35" s="9" t="s">
        <v>86</v>
      </c>
      <c r="D35" s="5" t="s">
        <v>194</v>
      </c>
      <c r="E35" s="5" t="s">
        <v>195</v>
      </c>
      <c r="F35" s="5" t="s">
        <v>196</v>
      </c>
      <c r="G35" s="5" t="s">
        <v>197</v>
      </c>
      <c r="H35" s="5" t="s">
        <v>229</v>
      </c>
      <c r="I35" s="5" t="s">
        <v>84</v>
      </c>
      <c r="J35" s="5" t="s">
        <v>200</v>
      </c>
    </row>
    <row r="36" ht="15.75" customHeight="1">
      <c r="A36" s="7" t="s">
        <v>14</v>
      </c>
      <c r="B36" s="5" t="s">
        <v>15</v>
      </c>
      <c r="C36" s="10" t="s">
        <v>127</v>
      </c>
      <c r="D36" s="5" t="s">
        <v>230</v>
      </c>
      <c r="E36" s="5" t="s">
        <v>231</v>
      </c>
      <c r="F36" s="5" t="s">
        <v>232</v>
      </c>
      <c r="G36" s="5" t="s">
        <v>233</v>
      </c>
      <c r="H36" s="5" t="s">
        <v>234</v>
      </c>
      <c r="I36" s="5" t="s">
        <v>235</v>
      </c>
      <c r="J36" s="5" t="s">
        <v>99</v>
      </c>
    </row>
    <row r="37" ht="15.75" customHeight="1">
      <c r="A37" s="7" t="s">
        <v>14</v>
      </c>
      <c r="B37" s="5" t="s">
        <v>15</v>
      </c>
      <c r="C37" s="8" t="s">
        <v>78</v>
      </c>
      <c r="D37" s="5" t="s">
        <v>236</v>
      </c>
      <c r="E37" s="5" t="s">
        <v>237</v>
      </c>
      <c r="F37" s="5" t="s">
        <v>238</v>
      </c>
      <c r="G37" s="5" t="s">
        <v>239</v>
      </c>
      <c r="H37" s="5" t="s">
        <v>240</v>
      </c>
      <c r="I37" s="5" t="s">
        <v>241</v>
      </c>
      <c r="J37" s="5" t="s">
        <v>99</v>
      </c>
    </row>
    <row r="38" ht="15.75" customHeight="1">
      <c r="A38" s="7" t="s">
        <v>14</v>
      </c>
      <c r="B38" s="5" t="s">
        <v>15</v>
      </c>
      <c r="C38" s="8" t="s">
        <v>78</v>
      </c>
      <c r="D38" s="5" t="s">
        <v>242</v>
      </c>
      <c r="E38" s="5" t="s">
        <v>243</v>
      </c>
      <c r="F38" s="5" t="s">
        <v>232</v>
      </c>
      <c r="G38" s="5" t="s">
        <v>244</v>
      </c>
      <c r="H38" s="5" t="s">
        <v>245</v>
      </c>
      <c r="I38" s="5" t="s">
        <v>246</v>
      </c>
      <c r="J38" s="5" t="s">
        <v>99</v>
      </c>
    </row>
    <row r="39" ht="15.75" customHeight="1">
      <c r="A39" s="7" t="s">
        <v>14</v>
      </c>
      <c r="B39" s="5" t="s">
        <v>15</v>
      </c>
      <c r="C39" s="8" t="s">
        <v>78</v>
      </c>
      <c r="D39" s="5" t="s">
        <v>247</v>
      </c>
      <c r="E39" s="5" t="s">
        <v>248</v>
      </c>
      <c r="F39" s="5" t="s">
        <v>232</v>
      </c>
      <c r="G39" s="5" t="s">
        <v>249</v>
      </c>
      <c r="H39" s="5" t="s">
        <v>250</v>
      </c>
      <c r="I39" s="5" t="s">
        <v>251</v>
      </c>
      <c r="J39" s="5" t="s">
        <v>99</v>
      </c>
    </row>
    <row r="40" ht="15.75" customHeight="1">
      <c r="A40" s="7" t="s">
        <v>14</v>
      </c>
      <c r="B40" s="5" t="s">
        <v>15</v>
      </c>
      <c r="C40" s="8" t="s">
        <v>78</v>
      </c>
      <c r="D40" s="5" t="s">
        <v>252</v>
      </c>
      <c r="E40" s="5" t="s">
        <v>253</v>
      </c>
      <c r="F40" s="5" t="s">
        <v>254</v>
      </c>
      <c r="G40" s="5" t="s">
        <v>255</v>
      </c>
      <c r="H40" s="5" t="s">
        <v>256</v>
      </c>
      <c r="I40" s="5" t="s">
        <v>257</v>
      </c>
      <c r="J40" s="5" t="s">
        <v>120</v>
      </c>
    </row>
    <row r="41" ht="15.75" customHeight="1">
      <c r="A41" s="7" t="s">
        <v>56</v>
      </c>
      <c r="B41" s="5" t="s">
        <v>57</v>
      </c>
      <c r="C41" s="10" t="s">
        <v>127</v>
      </c>
      <c r="D41" s="5" t="s">
        <v>140</v>
      </c>
      <c r="E41" s="5" t="s">
        <v>141</v>
      </c>
      <c r="F41" s="5" t="s">
        <v>142</v>
      </c>
      <c r="G41" s="5" t="s">
        <v>143</v>
      </c>
      <c r="H41" s="5" t="s">
        <v>258</v>
      </c>
      <c r="I41" s="5" t="s">
        <v>259</v>
      </c>
      <c r="J41" s="5" t="s">
        <v>120</v>
      </c>
    </row>
    <row r="42" ht="15.75" customHeight="1">
      <c r="A42" s="7" t="s">
        <v>59</v>
      </c>
      <c r="B42" s="5" t="s">
        <v>27</v>
      </c>
      <c r="C42" s="8" t="s">
        <v>78</v>
      </c>
      <c r="D42" s="5" t="s">
        <v>100</v>
      </c>
      <c r="E42" s="5" t="s">
        <v>101</v>
      </c>
      <c r="F42" s="5" t="s">
        <v>102</v>
      </c>
      <c r="G42" s="5" t="s">
        <v>103</v>
      </c>
      <c r="H42" s="5" t="s">
        <v>260</v>
      </c>
      <c r="I42" s="5" t="s">
        <v>84</v>
      </c>
      <c r="J42" s="5" t="s">
        <v>99</v>
      </c>
    </row>
    <row r="43" ht="15.75" customHeight="1">
      <c r="A43" s="7" t="s">
        <v>34</v>
      </c>
      <c r="B43" s="5" t="s">
        <v>35</v>
      </c>
      <c r="C43" s="8" t="s">
        <v>78</v>
      </c>
      <c r="D43" s="5" t="s">
        <v>121</v>
      </c>
      <c r="E43" s="5" t="s">
        <v>122</v>
      </c>
      <c r="F43" s="5" t="s">
        <v>123</v>
      </c>
      <c r="G43" s="5" t="s">
        <v>124</v>
      </c>
      <c r="H43" s="5" t="s">
        <v>261</v>
      </c>
      <c r="I43" s="5" t="s">
        <v>262</v>
      </c>
      <c r="J43" s="5" t="s">
        <v>112</v>
      </c>
    </row>
    <row r="44" ht="15.75" customHeight="1">
      <c r="A44" s="7" t="s">
        <v>34</v>
      </c>
      <c r="B44" s="5" t="s">
        <v>35</v>
      </c>
      <c r="C44" s="8" t="s">
        <v>78</v>
      </c>
      <c r="D44" s="5" t="s">
        <v>263</v>
      </c>
      <c r="E44" s="5" t="s">
        <v>264</v>
      </c>
      <c r="F44" s="5" t="s">
        <v>265</v>
      </c>
      <c r="G44" s="5" t="s">
        <v>266</v>
      </c>
      <c r="H44" s="5" t="s">
        <v>267</v>
      </c>
      <c r="I44" s="5" t="s">
        <v>268</v>
      </c>
      <c r="J44" s="5" t="s">
        <v>112</v>
      </c>
    </row>
    <row r="45" ht="15.75" customHeight="1">
      <c r="A45" s="7" t="s">
        <v>37</v>
      </c>
      <c r="B45" s="5" t="s">
        <v>38</v>
      </c>
      <c r="C45" s="10" t="s">
        <v>127</v>
      </c>
      <c r="D45" s="5" t="s">
        <v>269</v>
      </c>
      <c r="E45" s="5" t="s">
        <v>270</v>
      </c>
      <c r="F45" s="5" t="s">
        <v>271</v>
      </c>
      <c r="G45" s="5" t="s">
        <v>272</v>
      </c>
      <c r="H45" s="5" t="s">
        <v>273</v>
      </c>
      <c r="I45" s="5" t="s">
        <v>84</v>
      </c>
      <c r="J45" s="5" t="s">
        <v>99</v>
      </c>
    </row>
    <row r="46" ht="15.75" customHeight="1">
      <c r="A46" s="7" t="s">
        <v>37</v>
      </c>
      <c r="B46" s="5" t="s">
        <v>274</v>
      </c>
      <c r="C46" s="8" t="s">
        <v>78</v>
      </c>
      <c r="D46" s="5" t="s">
        <v>247</v>
      </c>
      <c r="E46" s="5" t="s">
        <v>248</v>
      </c>
      <c r="F46" s="5" t="s">
        <v>232</v>
      </c>
      <c r="G46" s="5" t="s">
        <v>249</v>
      </c>
      <c r="H46" s="5" t="s">
        <v>275</v>
      </c>
      <c r="I46" s="5" t="s">
        <v>84</v>
      </c>
      <c r="J46" s="5" t="s">
        <v>99</v>
      </c>
    </row>
    <row r="47" ht="15.75" customHeight="1">
      <c r="A47" s="7" t="s">
        <v>61</v>
      </c>
      <c r="B47" s="5" t="s">
        <v>62</v>
      </c>
      <c r="C47" s="8" t="s">
        <v>78</v>
      </c>
      <c r="D47" s="5" t="s">
        <v>121</v>
      </c>
      <c r="E47" s="5" t="s">
        <v>122</v>
      </c>
      <c r="F47" s="5" t="s">
        <v>123</v>
      </c>
      <c r="G47" s="5" t="s">
        <v>124</v>
      </c>
      <c r="H47" s="5" t="s">
        <v>276</v>
      </c>
      <c r="I47" s="5" t="s">
        <v>277</v>
      </c>
      <c r="J47" s="5" t="s">
        <v>112</v>
      </c>
    </row>
    <row r="48" ht="15.75" customHeight="1">
      <c r="A48" s="7" t="s">
        <v>40</v>
      </c>
      <c r="B48" s="5" t="s">
        <v>41</v>
      </c>
      <c r="C48" s="8" t="s">
        <v>78</v>
      </c>
      <c r="D48" s="5" t="s">
        <v>173</v>
      </c>
      <c r="E48" s="5" t="s">
        <v>174</v>
      </c>
      <c r="F48" s="5" t="s">
        <v>175</v>
      </c>
      <c r="G48" s="5" t="s">
        <v>176</v>
      </c>
      <c r="H48" s="5" t="s">
        <v>278</v>
      </c>
      <c r="I48" s="5" t="s">
        <v>279</v>
      </c>
      <c r="J48" s="5" t="s">
        <v>99</v>
      </c>
    </row>
    <row r="49" ht="15.75" customHeight="1">
      <c r="A49" s="7" t="s">
        <v>40</v>
      </c>
      <c r="B49" s="5" t="s">
        <v>280</v>
      </c>
      <c r="C49" s="8" t="s">
        <v>78</v>
      </c>
      <c r="D49" s="5" t="s">
        <v>100</v>
      </c>
      <c r="E49" s="5" t="s">
        <v>101</v>
      </c>
      <c r="F49" s="5" t="s">
        <v>102</v>
      </c>
      <c r="G49" s="5" t="s">
        <v>103</v>
      </c>
      <c r="H49" s="5" t="s">
        <v>281</v>
      </c>
      <c r="I49" s="5" t="s">
        <v>282</v>
      </c>
      <c r="J49" s="5" t="s">
        <v>99</v>
      </c>
    </row>
    <row r="50" ht="15.75" customHeight="1">
      <c r="A50" s="7" t="s">
        <v>8</v>
      </c>
      <c r="B50" s="5" t="s">
        <v>9</v>
      </c>
      <c r="C50" s="10" t="s">
        <v>127</v>
      </c>
      <c r="D50" s="5" t="s">
        <v>140</v>
      </c>
      <c r="E50" s="5" t="s">
        <v>141</v>
      </c>
      <c r="F50" s="5" t="s">
        <v>142</v>
      </c>
      <c r="G50" s="5" t="s">
        <v>143</v>
      </c>
      <c r="H50" s="5" t="s">
        <v>283</v>
      </c>
      <c r="I50" s="5" t="s">
        <v>284</v>
      </c>
      <c r="J50" s="5" t="s">
        <v>120</v>
      </c>
    </row>
    <row r="51" ht="15.75" customHeight="1">
      <c r="A51" s="7" t="s">
        <v>8</v>
      </c>
      <c r="B51" s="5" t="s">
        <v>285</v>
      </c>
      <c r="C51" s="10" t="s">
        <v>127</v>
      </c>
      <c r="D51" s="5" t="s">
        <v>154</v>
      </c>
      <c r="E51" s="5" t="s">
        <v>155</v>
      </c>
      <c r="F51" s="5" t="s">
        <v>156</v>
      </c>
      <c r="G51" s="5" t="s">
        <v>157</v>
      </c>
      <c r="H51" s="5" t="s">
        <v>286</v>
      </c>
      <c r="I51" s="5" t="s">
        <v>287</v>
      </c>
      <c r="J51" s="5" t="s">
        <v>99</v>
      </c>
    </row>
    <row r="52" ht="15.75" customHeight="1">
      <c r="A52" s="7" t="s">
        <v>8</v>
      </c>
      <c r="B52" s="5" t="s">
        <v>9</v>
      </c>
      <c r="C52" s="10" t="s">
        <v>127</v>
      </c>
      <c r="D52" s="5" t="s">
        <v>223</v>
      </c>
      <c r="E52" s="5" t="s">
        <v>224</v>
      </c>
      <c r="F52" s="5" t="s">
        <v>225</v>
      </c>
      <c r="G52" s="5" t="s">
        <v>226</v>
      </c>
      <c r="H52" s="5" t="s">
        <v>288</v>
      </c>
      <c r="I52" s="5" t="s">
        <v>289</v>
      </c>
      <c r="J52" s="5" t="s">
        <v>120</v>
      </c>
    </row>
    <row r="53" ht="15.75" customHeight="1">
      <c r="A53" s="7" t="s">
        <v>8</v>
      </c>
      <c r="B53" s="5" t="s">
        <v>290</v>
      </c>
      <c r="C53" s="10" t="s">
        <v>127</v>
      </c>
      <c r="D53" s="5" t="s">
        <v>269</v>
      </c>
      <c r="E53" s="5" t="s">
        <v>270</v>
      </c>
      <c r="F53" s="5" t="s">
        <v>271</v>
      </c>
      <c r="G53" s="5" t="s">
        <v>272</v>
      </c>
      <c r="H53" s="5" t="s">
        <v>291</v>
      </c>
      <c r="I53" s="5" t="s">
        <v>292</v>
      </c>
      <c r="J53" s="5" t="s">
        <v>99</v>
      </c>
    </row>
    <row r="54" ht="15.75" customHeight="1">
      <c r="A54" s="7" t="s">
        <v>8</v>
      </c>
      <c r="B54" s="5" t="s">
        <v>9</v>
      </c>
      <c r="C54" s="10" t="s">
        <v>127</v>
      </c>
      <c r="D54" s="5" t="s">
        <v>230</v>
      </c>
      <c r="E54" s="5" t="s">
        <v>231</v>
      </c>
      <c r="F54" s="5" t="s">
        <v>232</v>
      </c>
      <c r="G54" s="5" t="s">
        <v>233</v>
      </c>
      <c r="H54" s="5" t="s">
        <v>293</v>
      </c>
      <c r="I54" s="5" t="s">
        <v>294</v>
      </c>
      <c r="J54" s="5" t="s">
        <v>99</v>
      </c>
    </row>
    <row r="55" ht="15.75" customHeight="1">
      <c r="A55" s="7" t="s">
        <v>8</v>
      </c>
      <c r="B55" s="5" t="s">
        <v>32</v>
      </c>
      <c r="C55" s="10" t="s">
        <v>127</v>
      </c>
      <c r="D55" s="5" t="s">
        <v>128</v>
      </c>
      <c r="E55" s="5" t="s">
        <v>129</v>
      </c>
      <c r="F55" s="5" t="s">
        <v>130</v>
      </c>
      <c r="G55" s="5" t="s">
        <v>131</v>
      </c>
      <c r="H55" s="5" t="s">
        <v>295</v>
      </c>
      <c r="I55" s="5" t="s">
        <v>296</v>
      </c>
      <c r="J55" s="5" t="s">
        <v>120</v>
      </c>
    </row>
    <row r="56" ht="15.75" customHeight="1">
      <c r="A56" s="7" t="s">
        <v>8</v>
      </c>
      <c r="B56" s="5" t="s">
        <v>297</v>
      </c>
      <c r="C56" s="8" t="s">
        <v>78</v>
      </c>
      <c r="D56" s="5" t="s">
        <v>298</v>
      </c>
      <c r="E56" s="5" t="s">
        <v>299</v>
      </c>
      <c r="F56" s="5" t="s">
        <v>300</v>
      </c>
      <c r="G56" s="5" t="s">
        <v>301</v>
      </c>
      <c r="H56" s="5" t="s">
        <v>302</v>
      </c>
      <c r="I56" s="5" t="s">
        <v>303</v>
      </c>
      <c r="J56" s="5" t="s">
        <v>192</v>
      </c>
    </row>
    <row r="57" ht="15.75" customHeight="1">
      <c r="A57" s="7" t="s">
        <v>8</v>
      </c>
      <c r="B57" s="5" t="s">
        <v>9</v>
      </c>
      <c r="C57" s="8" t="s">
        <v>78</v>
      </c>
      <c r="D57" s="5" t="s">
        <v>173</v>
      </c>
      <c r="E57" s="5" t="s">
        <v>174</v>
      </c>
      <c r="F57" s="5" t="s">
        <v>175</v>
      </c>
      <c r="G57" s="5" t="s">
        <v>176</v>
      </c>
      <c r="H57" s="5" t="s">
        <v>304</v>
      </c>
      <c r="I57" s="5" t="s">
        <v>305</v>
      </c>
      <c r="J57" s="5" t="s">
        <v>99</v>
      </c>
    </row>
    <row r="58" ht="15.75" customHeight="1">
      <c r="A58" s="7" t="s">
        <v>8</v>
      </c>
      <c r="B58" s="5" t="s">
        <v>9</v>
      </c>
      <c r="C58" s="8" t="s">
        <v>78</v>
      </c>
      <c r="D58" s="5" t="s">
        <v>236</v>
      </c>
      <c r="E58" s="5" t="s">
        <v>237</v>
      </c>
      <c r="F58" s="5" t="s">
        <v>238</v>
      </c>
      <c r="G58" s="5" t="s">
        <v>239</v>
      </c>
      <c r="H58" s="5" t="s">
        <v>306</v>
      </c>
      <c r="I58" s="5" t="s">
        <v>307</v>
      </c>
      <c r="J58" s="5" t="s">
        <v>99</v>
      </c>
    </row>
    <row r="59" ht="15.75" customHeight="1">
      <c r="A59" s="7" t="s">
        <v>8</v>
      </c>
      <c r="B59" s="5" t="s">
        <v>9</v>
      </c>
      <c r="C59" s="8" t="s">
        <v>78</v>
      </c>
      <c r="D59" s="5" t="s">
        <v>308</v>
      </c>
      <c r="E59" s="5" t="s">
        <v>309</v>
      </c>
      <c r="F59" s="5" t="s">
        <v>310</v>
      </c>
      <c r="G59" s="5" t="s">
        <v>311</v>
      </c>
      <c r="H59" s="5" t="s">
        <v>312</v>
      </c>
      <c r="I59" s="5" t="s">
        <v>313</v>
      </c>
      <c r="J59" s="5" t="s">
        <v>192</v>
      </c>
    </row>
    <row r="60" ht="15.75" customHeight="1">
      <c r="A60" s="7" t="s">
        <v>8</v>
      </c>
      <c r="B60" s="5" t="s">
        <v>314</v>
      </c>
      <c r="C60" s="8" t="s">
        <v>78</v>
      </c>
      <c r="D60" s="5" t="s">
        <v>201</v>
      </c>
      <c r="E60" s="5" t="s">
        <v>202</v>
      </c>
      <c r="F60" s="5" t="s">
        <v>203</v>
      </c>
      <c r="G60" s="5" t="s">
        <v>204</v>
      </c>
      <c r="H60" s="5" t="s">
        <v>315</v>
      </c>
      <c r="I60" s="5" t="s">
        <v>316</v>
      </c>
      <c r="J60" s="5" t="s">
        <v>120</v>
      </c>
    </row>
    <row r="61" ht="15.75" customHeight="1">
      <c r="A61" s="7" t="s">
        <v>8</v>
      </c>
      <c r="B61" s="5" t="s">
        <v>314</v>
      </c>
      <c r="C61" s="8" t="s">
        <v>78</v>
      </c>
      <c r="D61" s="5" t="s">
        <v>93</v>
      </c>
      <c r="E61" s="5" t="s">
        <v>94</v>
      </c>
      <c r="F61" s="5" t="s">
        <v>95</v>
      </c>
      <c r="G61" s="5" t="s">
        <v>96</v>
      </c>
      <c r="H61" s="5" t="s">
        <v>317</v>
      </c>
      <c r="I61" s="5" t="s">
        <v>318</v>
      </c>
      <c r="J61" s="5" t="s">
        <v>99</v>
      </c>
    </row>
    <row r="62" ht="15.75" customHeight="1">
      <c r="A62" s="7" t="s">
        <v>8</v>
      </c>
      <c r="B62" s="5" t="s">
        <v>9</v>
      </c>
      <c r="C62" s="8" t="s">
        <v>78</v>
      </c>
      <c r="D62" s="5" t="s">
        <v>100</v>
      </c>
      <c r="E62" s="5" t="s">
        <v>101</v>
      </c>
      <c r="F62" s="5" t="s">
        <v>102</v>
      </c>
      <c r="G62" s="5" t="s">
        <v>103</v>
      </c>
      <c r="H62" s="5" t="s">
        <v>319</v>
      </c>
      <c r="I62" s="5" t="s">
        <v>320</v>
      </c>
      <c r="J62" s="5" t="s">
        <v>99</v>
      </c>
    </row>
    <row r="63" ht="15.75" customHeight="1">
      <c r="A63" s="7" t="s">
        <v>8</v>
      </c>
      <c r="B63" s="5" t="s">
        <v>9</v>
      </c>
      <c r="C63" s="8" t="s">
        <v>78</v>
      </c>
      <c r="D63" s="5" t="s">
        <v>121</v>
      </c>
      <c r="E63" s="5" t="s">
        <v>122</v>
      </c>
      <c r="F63" s="5" t="s">
        <v>123</v>
      </c>
      <c r="G63" s="5" t="s">
        <v>124</v>
      </c>
      <c r="H63" s="5" t="s">
        <v>321</v>
      </c>
      <c r="I63" s="5" t="s">
        <v>322</v>
      </c>
      <c r="J63" s="5" t="s">
        <v>112</v>
      </c>
    </row>
    <row r="64" ht="15.75" customHeight="1">
      <c r="A64" s="7" t="s">
        <v>8</v>
      </c>
      <c r="B64" s="5" t="s">
        <v>9</v>
      </c>
      <c r="C64" s="8" t="s">
        <v>78</v>
      </c>
      <c r="D64" s="5" t="s">
        <v>106</v>
      </c>
      <c r="E64" s="5" t="s">
        <v>107</v>
      </c>
      <c r="F64" s="5" t="s">
        <v>108</v>
      </c>
      <c r="G64" s="5" t="s">
        <v>109</v>
      </c>
      <c r="H64" s="5" t="s">
        <v>323</v>
      </c>
      <c r="I64" s="5" t="s">
        <v>324</v>
      </c>
      <c r="J64" s="5" t="s">
        <v>112</v>
      </c>
    </row>
    <row r="65" ht="15.75" customHeight="1">
      <c r="A65" s="7" t="s">
        <v>8</v>
      </c>
      <c r="B65" s="5" t="s">
        <v>9</v>
      </c>
      <c r="C65" s="8" t="s">
        <v>78</v>
      </c>
      <c r="D65" s="5" t="s">
        <v>242</v>
      </c>
      <c r="E65" s="5" t="s">
        <v>243</v>
      </c>
      <c r="F65" s="5" t="s">
        <v>232</v>
      </c>
      <c r="G65" s="5" t="s">
        <v>244</v>
      </c>
      <c r="H65" s="5" t="s">
        <v>325</v>
      </c>
      <c r="I65" s="5" t="s">
        <v>326</v>
      </c>
      <c r="J65" s="5" t="s">
        <v>99</v>
      </c>
    </row>
    <row r="66" ht="15.75" customHeight="1">
      <c r="A66" s="7" t="s">
        <v>8</v>
      </c>
      <c r="B66" s="5" t="s">
        <v>9</v>
      </c>
      <c r="C66" s="8" t="s">
        <v>78</v>
      </c>
      <c r="D66" s="5" t="s">
        <v>263</v>
      </c>
      <c r="E66" s="5" t="s">
        <v>264</v>
      </c>
      <c r="F66" s="5" t="s">
        <v>265</v>
      </c>
      <c r="G66" s="5" t="s">
        <v>266</v>
      </c>
      <c r="H66" s="5" t="s">
        <v>327</v>
      </c>
      <c r="I66" s="5" t="s">
        <v>328</v>
      </c>
      <c r="J66" s="5" t="s">
        <v>112</v>
      </c>
    </row>
    <row r="67" ht="15.75" customHeight="1">
      <c r="A67" s="7" t="s">
        <v>8</v>
      </c>
      <c r="B67" s="5" t="s">
        <v>9</v>
      </c>
      <c r="C67" s="8" t="s">
        <v>78</v>
      </c>
      <c r="D67" s="5" t="s">
        <v>247</v>
      </c>
      <c r="E67" s="5" t="s">
        <v>248</v>
      </c>
      <c r="F67" s="5" t="s">
        <v>232</v>
      </c>
      <c r="G67" s="5" t="s">
        <v>249</v>
      </c>
      <c r="H67" s="5" t="s">
        <v>329</v>
      </c>
      <c r="I67" s="5" t="s">
        <v>330</v>
      </c>
      <c r="J67" s="5" t="s">
        <v>99</v>
      </c>
    </row>
    <row r="68" ht="15.75" customHeight="1">
      <c r="A68" s="7" t="s">
        <v>8</v>
      </c>
      <c r="B68" s="5" t="s">
        <v>331</v>
      </c>
      <c r="C68" s="9" t="s">
        <v>86</v>
      </c>
      <c r="D68" s="5" t="s">
        <v>194</v>
      </c>
      <c r="E68" s="5" t="s">
        <v>195</v>
      </c>
      <c r="F68" s="5" t="s">
        <v>196</v>
      </c>
      <c r="G68" s="5" t="s">
        <v>197</v>
      </c>
      <c r="H68" s="5" t="s">
        <v>332</v>
      </c>
      <c r="I68" s="5" t="s">
        <v>333</v>
      </c>
      <c r="J68" s="5" t="s">
        <v>200</v>
      </c>
    </row>
    <row r="69" ht="15.75" customHeight="1">
      <c r="A69" s="7" t="s">
        <v>8</v>
      </c>
      <c r="B69" s="5" t="s">
        <v>32</v>
      </c>
      <c r="C69" s="9" t="s">
        <v>86</v>
      </c>
      <c r="D69" s="5" t="s">
        <v>87</v>
      </c>
      <c r="E69" s="5" t="s">
        <v>88</v>
      </c>
      <c r="F69" s="5" t="s">
        <v>89</v>
      </c>
      <c r="G69" s="5" t="s">
        <v>90</v>
      </c>
      <c r="H69" s="5" t="s">
        <v>334</v>
      </c>
      <c r="I69" s="5" t="s">
        <v>335</v>
      </c>
      <c r="J69" s="5" t="s">
        <v>92</v>
      </c>
    </row>
    <row r="70" ht="15.75" customHeight="1">
      <c r="A70" s="7" t="s">
        <v>64</v>
      </c>
      <c r="B70" s="5" t="s">
        <v>65</v>
      </c>
      <c r="C70" s="10" t="s">
        <v>127</v>
      </c>
      <c r="D70" s="5" t="s">
        <v>230</v>
      </c>
      <c r="E70" s="5" t="s">
        <v>231</v>
      </c>
      <c r="F70" s="5" t="s">
        <v>232</v>
      </c>
      <c r="G70" s="5" t="s">
        <v>233</v>
      </c>
      <c r="H70" s="5" t="s">
        <v>336</v>
      </c>
      <c r="I70" s="5" t="s">
        <v>337</v>
      </c>
      <c r="J70" s="5" t="s">
        <v>99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70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2026-07-22T12:08:26Z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